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Eniola\OneDrive\Desktop\Excel Projects\"/>
    </mc:Choice>
  </mc:AlternateContent>
  <xr:revisionPtr revIDLastSave="0" documentId="13_ncr:1_{799563A5-5CD4-4035-A994-D21ADA2F7E06}" xr6:coauthVersionLast="47" xr6:coauthVersionMax="47" xr10:uidLastSave="{00000000-0000-0000-0000-000000000000}"/>
  <bookViews>
    <workbookView xWindow="-120" yWindow="-120" windowWidth="24240" windowHeight="13020" activeTab="2" xr2:uid="{F335D657-7F76-4AA5-AA20-C08FD84805AD}"/>
  </bookViews>
  <sheets>
    <sheet name="sneakers_streetwear_sales_data" sheetId="1" r:id="rId1"/>
    <sheet name="Pivot Table" sheetId="2" r:id="rId2"/>
    <sheet name="Dashboard" sheetId="4" r:id="rId3"/>
  </sheets>
  <definedNames>
    <definedName name="_xlnm.Print_Area" localSheetId="2">Dashboard!$A$1:$X$56</definedName>
    <definedName name="Slicer_Brand">#N/A</definedName>
    <definedName name="Slicer_Category">#N/A</definedName>
    <definedName name="Slicer_Country">#N/A</definedName>
    <definedName name="Slicer_Gender">#N/A</definedName>
    <definedName name="Slicer_Month">#N/A</definedName>
    <definedName name="Slicer_Payment_Mode">#N/A</definedName>
    <definedName name="Slicer_Product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2" i="1"/>
</calcChain>
</file>

<file path=xl/sharedStrings.xml><?xml version="1.0" encoding="utf-8"?>
<sst xmlns="http://schemas.openxmlformats.org/spreadsheetml/2006/main" count="2605" uniqueCount="71">
  <si>
    <t>Date</t>
  </si>
  <si>
    <t>Product Name</t>
  </si>
  <si>
    <t>Product Type</t>
  </si>
  <si>
    <t>Brand</t>
  </si>
  <si>
    <t>Gender</t>
  </si>
  <si>
    <t>Category</t>
  </si>
  <si>
    <t>Country</t>
  </si>
  <si>
    <t>Quantity</t>
  </si>
  <si>
    <t>Unit Price ($)</t>
  </si>
  <si>
    <t>Amount ($)</t>
  </si>
  <si>
    <t>Payment Mode</t>
  </si>
  <si>
    <t>Fear of God Essentials Tee</t>
  </si>
  <si>
    <t>T-shirt</t>
  </si>
  <si>
    <t>Essentials</t>
  </si>
  <si>
    <t>Unisex</t>
  </si>
  <si>
    <t>Limited Edition</t>
  </si>
  <si>
    <t>Japan</t>
  </si>
  <si>
    <t>Card</t>
  </si>
  <si>
    <t>Yeezy Boost 350</t>
  </si>
  <si>
    <t>Sneakers</t>
  </si>
  <si>
    <t>Adidas</t>
  </si>
  <si>
    <t>Streetwear</t>
  </si>
  <si>
    <t>USA</t>
  </si>
  <si>
    <t>Cash on Delivery</t>
  </si>
  <si>
    <t>Nike Dunk Low</t>
  </si>
  <si>
    <t>Nike</t>
  </si>
  <si>
    <t>Women</t>
  </si>
  <si>
    <t>Germany</t>
  </si>
  <si>
    <t>Nike Tech Fleece</t>
  </si>
  <si>
    <t>Hoodie</t>
  </si>
  <si>
    <t>Men</t>
  </si>
  <si>
    <t>Jordan 1 High</t>
  </si>
  <si>
    <t>Casual</t>
  </si>
  <si>
    <t>Australia</t>
  </si>
  <si>
    <t>UK</t>
  </si>
  <si>
    <t>UPI</t>
  </si>
  <si>
    <t>Wallet</t>
  </si>
  <si>
    <t>Off-White Hoodie</t>
  </si>
  <si>
    <t>Off-White</t>
  </si>
  <si>
    <t>Canada</t>
  </si>
  <si>
    <t>Sportswear</t>
  </si>
  <si>
    <t>Supreme Hoodie</t>
  </si>
  <si>
    <t>Supreme</t>
  </si>
  <si>
    <t>India</t>
  </si>
  <si>
    <t>Adidas Ultraboost</t>
  </si>
  <si>
    <t>New Era Cap</t>
  </si>
  <si>
    <t>Cap</t>
  </si>
  <si>
    <t>New Era</t>
  </si>
  <si>
    <t>Puma Joggers</t>
  </si>
  <si>
    <t>Joggers</t>
  </si>
  <si>
    <t>Puma</t>
  </si>
  <si>
    <t>Day</t>
  </si>
  <si>
    <t>Month</t>
  </si>
  <si>
    <t>Total Quantity Sold</t>
  </si>
  <si>
    <t>Total Revenue</t>
  </si>
  <si>
    <t>Grand Total</t>
  </si>
  <si>
    <t>May</t>
  </si>
  <si>
    <t>March</t>
  </si>
  <si>
    <t>January</t>
  </si>
  <si>
    <t>February</t>
  </si>
  <si>
    <t>August</t>
  </si>
  <si>
    <t>July</t>
  </si>
  <si>
    <t>June</t>
  </si>
  <si>
    <t>Quantity Sold</t>
  </si>
  <si>
    <t>Revenue</t>
  </si>
  <si>
    <t>Product Category</t>
  </si>
  <si>
    <t>April</t>
  </si>
  <si>
    <t>Month on Month Analysis</t>
  </si>
  <si>
    <t>Top 5 Brand</t>
  </si>
  <si>
    <t>No. of Transactions</t>
  </si>
  <si>
    <t>Sum of Avg Unit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</si>
</sst>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2" formatCode="_(&quot;$&quot;* #,##0_);_(&quot;$&quot;* \(#,##0\);_(&quot;$&quot;* &quot;-&quot;_);_(@_)"/>
    <numFmt numFmtId="44" formatCode="_(&quot;$&quot;* #,##0.00_);_(&quot;$&quot;* \(#,##0.00\);_(&quot;$&quot;* &quot;-&quot;??_);_(@_)"/>
    <numFmt numFmtId="164" formatCode="_(&quot;$&quot;* #,##0_);_(&quot;$&quot;* \(#,##0\);_(&quot;$&quot;* &quot;-&quot;??_);_(@_)"/>
    <numFmt numFmtId="165" formatCode="_(&quot;$&quot;* #,##0.0_);_(&quot;$&quot;* \(#,##0.0\);_(&quot;$&quot;* &quot;-&quot;??_);_(@_)"/>
    <numFmt numFmtId="166" formatCode="_(* #,##0_);_(* \(#,##0\);_(* &quot;-&quot;??_);_(@_)"/>
    <numFmt numFmtId="167" formatCode="&quot;$&quot;#,##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0" fontId="0" fillId="0" borderId="0" xfId="0" pivotButton="1"/>
    <xf numFmtId="164" fontId="0" fillId="0" borderId="0" xfId="1" applyNumberFormat="1" applyFont="1"/>
    <xf numFmtId="165" fontId="0" fillId="0" borderId="0" xfId="0" applyNumberFormat="1"/>
    <xf numFmtId="164" fontId="0" fillId="0" borderId="0" xfId="0" applyNumberFormat="1"/>
    <xf numFmtId="166" fontId="0" fillId="0" borderId="0" xfId="0" applyNumberFormat="1"/>
    <xf numFmtId="0" fontId="0" fillId="0" borderId="0" xfId="0" applyAlignment="1">
      <alignment horizontal="left"/>
    </xf>
    <xf numFmtId="2" fontId="0" fillId="0" borderId="0" xfId="0" applyNumberFormat="1"/>
    <xf numFmtId="3" fontId="0" fillId="0" borderId="0" xfId="0" applyNumberFormat="1"/>
    <xf numFmtId="42" fontId="0" fillId="0" borderId="0" xfId="0" applyNumberFormat="1"/>
    <xf numFmtId="10" fontId="0" fillId="0" borderId="0" xfId="0" applyNumberFormat="1"/>
    <xf numFmtId="167"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47">
    <dxf>
      <numFmt numFmtId="14" formatCode="0.00%"/>
    </dxf>
    <dxf>
      <numFmt numFmtId="164" formatCode="_(&quot;$&quot;* #,##0_);_(&quot;$&quot;* \(#,##0\);_(&quot;$&quot;* &quot;-&quot;??_);_(@_)"/>
    </dxf>
    <dxf>
      <numFmt numFmtId="167" formatCode="&quot;$&quot;#,##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2" formatCode="0.00"/>
    </dxf>
    <dxf>
      <numFmt numFmtId="166" formatCode="_(* #,##0_);_(* \(#,##0\);_(* &quot;-&quot;??_);_(@_)"/>
    </dxf>
    <dxf>
      <numFmt numFmtId="32" formatCode="_(&quot;$&quot;* #,##0_);_(&quot;$&quot;* \(#,##0\);_(&quot;$&quot;* &quot;-&quot;_);_(@_)"/>
    </dxf>
    <dxf>
      <numFmt numFmtId="165" formatCode="_(&quot;$&quot;* #,##0.0_);_(&quot;$&quot;* \(#,##0.0\);_(&quot;$&quot;* &quot;-&quot;??_);_(@_)"/>
    </dxf>
    <dxf>
      <numFmt numFmtId="34" formatCode="_(&quot;$&quot;* #,##0.00_);_(&quot;$&quot;* \(#,##0.00\);_(&quot;$&quot;* &quot;-&quot;??_);_(@_)"/>
    </dxf>
    <dxf>
      <numFmt numFmtId="164" formatCode="_(&quot;$&quot;* #,##0_);_(&quot;$&quot;* \(#,##0\);_(&quot;$&quot;* &quot;-&quot;??_);_(@_)"/>
    </dxf>
    <dxf>
      <numFmt numFmtId="3"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166" formatCode="_(* #,##0_);_(* \(#,##0\);_(* &quot;-&quot;??_);_(@_)"/>
    </dxf>
    <dxf>
      <numFmt numFmtId="0" formatCode="General"/>
    </dxf>
    <dxf>
      <numFmt numFmtId="164" formatCode="_(&quot;$&quot;* #,##0_);_(&quot;$&quot;* \(#,##0\);_(&quot;$&quot;* &quot;-&quot;??_);_(@_)"/>
    </dxf>
    <dxf>
      <numFmt numFmtId="164" formatCode="_(&quot;$&quot;* #,##0_);_(&quot;$&quot;* \(#,##0\);_(&quot;$&quot;* &quot;-&quot;??_);_(@_)"/>
    </dxf>
    <dxf>
      <numFmt numFmtId="166" formatCode="_(* #,##0_);_(* \(#,##0\);_(* &quot;-&quot;??_);_(@_)"/>
    </dxf>
    <dxf>
      <numFmt numFmtId="0" formatCode="General"/>
    </dxf>
    <dxf>
      <numFmt numFmtId="3" formatCode="#,##0"/>
    </dxf>
    <dxf>
      <numFmt numFmtId="164" formatCode="_(&quot;$&quot;* #,##0_);_(&quot;$&quot;* \(#,##0\);_(&quot;$&quot;* &quot;-&quot;??_);_(@_)"/>
    </dxf>
    <dxf>
      <numFmt numFmtId="3" formatCode="#,##0"/>
    </dxf>
    <dxf>
      <numFmt numFmtId="2" formatCode="0.00"/>
    </dxf>
    <dxf>
      <numFmt numFmtId="164" formatCode="_(&quot;$&quot;* #,##0_);_(&quot;$&quot;* \(#,##0\);_(&quot;$&quot;* &quot;-&quot;??_);_(@_)"/>
    </dxf>
    <dxf>
      <numFmt numFmtId="3" formatCode="#,##0"/>
    </dxf>
    <dxf>
      <numFmt numFmtId="164" formatCode="_(&quot;$&quot;* #,##0_);_(&quot;$&quot;* \(#,##0\);_(&quot;$&quot;* &quot;-&quot;??_);_(@_)"/>
    </dxf>
    <dxf>
      <numFmt numFmtId="167" formatCode="&quot;$&quot;#,##0"/>
    </dxf>
    <dxf>
      <numFmt numFmtId="166" formatCode="_(* #,##0_);_(* \(#,##0\);_(* &quot;-&quot;??_);_(@_)"/>
    </dxf>
    <dxf>
      <numFmt numFmtId="0" formatCode="General"/>
    </dxf>
    <dxf>
      <numFmt numFmtId="3"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19" formatCode="m/d/yyyy"/>
    </dxf>
    <dxf>
      <numFmt numFmtId="19" formatCode="m/d/yyyy"/>
    </dxf>
    <dxf>
      <numFmt numFmtId="19" formatCode="m/d/yyyy"/>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val="0"/>
        <i val="0"/>
        <sz val="9"/>
        <color rgb="FF5E3023"/>
        <name val="Arial"/>
        <family val="2"/>
        <scheme val="none"/>
      </font>
    </dxf>
  </dxfs>
  <tableStyles count="5" defaultTableStyle="TableStyleMedium2" defaultPivotStyle="PivotStyleLight16">
    <tableStyle name="Slicer Style 1" pivot="0" table="0" count="4" xr9:uid="{B962FBF6-A1F1-4C55-AAB8-F47F7BCFBBC5}"/>
    <tableStyle name="Slicer Style 2" pivot="0" table="0" count="3" xr9:uid="{FB46A635-D578-4C23-8E1D-9581F44BE435}"/>
    <tableStyle name="Slicer Style 3" pivot="0" table="0" count="1" xr9:uid="{845E6F23-0F2F-4BB2-B15F-1F8AEE35CCDF}"/>
    <tableStyle name="Slicer Style 4" pivot="0" table="0" count="1" xr9:uid="{0D821513-EAAF-4B28-8622-1A0C74E4016B}">
      <tableStyleElement type="wholeTable" dxfId="46"/>
    </tableStyle>
    <tableStyle name="SlicerStyleDark2 2" pivot="0" table="0" count="10" xr9:uid="{AE98A572-02BC-4B94-BCB8-973734D8C828}">
      <tableStyleElement type="wholeTable" dxfId="45"/>
      <tableStyleElement type="headerRow" dxfId="44"/>
    </tableStyle>
  </tableStyles>
  <colors>
    <mruColors>
      <color rgb="FFFF9933"/>
      <color rgb="FF351805"/>
      <color rgb="FF4C261C"/>
      <color rgb="FF895737"/>
      <color rgb="FFCC6600"/>
      <color rgb="FFC08552"/>
      <color rgb="FF5E3023"/>
      <color rgb="FFF1D76B"/>
      <color rgb="FFF3E9DC"/>
      <color rgb="FF6172BB"/>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name val="Arial"/>
            <family val="2"/>
            <scheme val="none"/>
          </font>
          <fill>
            <patternFill patternType="solid">
              <fgColor auto="1"/>
              <bgColor theme="5"/>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b/>
            <i val="0"/>
            <color rgb="FF351805"/>
            <name val="Arial"/>
            <family val="2"/>
            <scheme val="none"/>
          </font>
          <fill>
            <patternFill patternType="solid">
              <fgColor rgb="FF4C261C"/>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theme="5"/>
            </patternFill>
          </fill>
          <border>
            <left style="thin">
              <color rgb="FFDFDFDF"/>
            </left>
            <right style="thin">
              <color rgb="FFDFDFDF"/>
            </right>
            <top style="thin">
              <color rgb="FFDFDFDF"/>
            </top>
            <bottom style="thin">
              <color rgb="FFDFDFDF"/>
            </bottom>
            <vertical/>
            <horizontal/>
          </border>
        </dxf>
        <dxf>
          <font>
            <b/>
            <i val="0"/>
            <color rgb="FF000000"/>
            <name val="Arial"/>
            <family val="2"/>
            <scheme val="none"/>
          </font>
          <fill>
            <patternFill patternType="solid">
              <fgColor rgb="FFC0C0C0"/>
              <bgColor theme="5"/>
            </patternFill>
          </fill>
          <border>
            <left style="thin">
              <color rgb="FFC0C0C0"/>
            </left>
            <right style="thin">
              <color rgb="FFC0C0C0"/>
            </right>
            <top style="thin">
              <color rgb="FFC0C0C0"/>
            </top>
            <bottom style="thin">
              <color rgb="FFC0C0C0"/>
            </bottom>
            <vertical/>
            <horizontal/>
          </border>
        </dxf>
        <dxf>
          <font>
            <color rgb="FF5E3023"/>
          </font>
        </dxf>
        <dxf>
          <font>
            <sz val="9"/>
            <name val="Arial"/>
            <family val="2"/>
            <scheme val="none"/>
          </font>
        </dxf>
        <dxf>
          <font>
            <sz val="11"/>
            <name val="Arial"/>
            <family val="2"/>
            <scheme val="none"/>
          </font>
        </dxf>
        <dxf>
          <font>
            <sz val="10"/>
            <name val="Arial"/>
            <family val="2"/>
            <scheme val="none"/>
          </font>
        </dxf>
        <dxf>
          <font>
            <b val="0"/>
            <i val="0"/>
            <sz val="10"/>
            <name val="Arial"/>
            <family val="2"/>
            <scheme val="none"/>
          </font>
        </dxf>
        <dxf>
          <font>
            <b val="0"/>
            <i val="0"/>
            <sz val="10"/>
            <color rgb="FF895737"/>
            <name val="Arial"/>
            <family val="2"/>
            <scheme val="none"/>
          </font>
        </dxf>
        <dxf>
          <font>
            <b val="0"/>
            <i val="0"/>
            <sz val="8"/>
            <color rgb="FF5E3023"/>
            <name val="Arial"/>
            <family val="2"/>
            <scheme val="none"/>
          </font>
        </dxf>
        <dxf>
          <font>
            <b val="0"/>
            <i val="0"/>
            <strike val="0"/>
            <sz val="8"/>
            <name val="Arial"/>
            <family val="2"/>
            <scheme val="none"/>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5"/>
            <x14:slicerStyleElement type="selectedItemWithData" dxfId="14"/>
            <x14:slicerStyleElement type="hoveredUnselectedItemWithData" dxfId="13"/>
            <x14:slicerStyleElement type="hoveredSelectedItemWithData" dxfId="12"/>
          </x14:slicerStyleElements>
        </x14:slicerStyle>
        <x14:slicerStyle name="Slicer Style 2">
          <x14:slicerStyleElements>
            <x14:slicerStyleElement type="unselectedItemWithData" dxfId="11"/>
            <x14:slicerStyleElement type="hoveredUnselectedItemWithData" dxfId="10"/>
            <x14:slicerStyleElement type="hoveredSelectedItemWithData" dxfId="9"/>
          </x14:slicerStyleElements>
        </x14:slicerStyle>
        <x14:slicerStyle name="Slicer Style 3">
          <x14:slicerStyleElements>
            <x14:slicerStyleElement type="selectedItemWithData" dxfId="8"/>
          </x14:slicerStyleElements>
        </x14:slicerStyle>
        <x14:slicerStyle name="Slicer Style 4"/>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[sneakers_streetwear_sales_data.xlsx]Pivot Table!Gender_by_Revenue</c:name>
    <c:fmtId val="3"/>
  </c:pivotSource>
  <c:chart>
    <c:title>
      <c:tx>
        <c:rich>
          <a:bodyPr rot="0" spcFirstLastPara="1" vertOverflow="ellipsis" vert="horz" wrap="square" anchor="ctr" anchorCtr="1"/>
          <a:lstStyle/>
          <a:p>
            <a:pPr>
              <a:defRPr sz="1600" b="1" i="0" u="none" strike="noStrike" kern="1200" spc="0" baseline="0">
                <a:solidFill>
                  <a:srgbClr val="5E3023"/>
                </a:solidFill>
                <a:latin typeface="Arial" panose="020B0604020202020204" pitchFamily="34" charset="0"/>
                <a:ea typeface="+mn-ea"/>
                <a:cs typeface="Arial" panose="020B0604020202020204" pitchFamily="34" charset="0"/>
              </a:defRPr>
            </a:pPr>
            <a:r>
              <a:rPr lang="en-US" sz="1600" b="1">
                <a:solidFill>
                  <a:srgbClr val="5E3023"/>
                </a:solidFill>
                <a:latin typeface="Arial" panose="020B0604020202020204" pitchFamily="34" charset="0"/>
                <a:cs typeface="Arial" panose="020B0604020202020204" pitchFamily="34" charset="0"/>
              </a:rPr>
              <a:t>Revenue by Gender</a:t>
            </a: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5E3023"/>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C0855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9933"/>
          </a:solidFill>
          <a:ln w="19050">
            <a:solidFill>
              <a:schemeClr val="lt1"/>
            </a:solidFill>
          </a:ln>
          <a:effectLst/>
        </c:spPr>
        <c:dLbl>
          <c:idx val="0"/>
          <c:layout>
            <c:manualLayout>
              <c:x val="0.12765966952191474"/>
              <c:y val="-0.1600000000000000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E3023"/>
          </a:solidFill>
          <a:ln w="19050">
            <a:solidFill>
              <a:schemeClr val="lt1"/>
            </a:solidFill>
          </a:ln>
          <a:effectLst/>
        </c:spPr>
        <c:dLbl>
          <c:idx val="0"/>
          <c:layout>
            <c:manualLayout>
              <c:x val="-0.13238780543013379"/>
              <c:y val="0.1173333333333332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w="19050">
            <a:solidFill>
              <a:schemeClr val="lt1"/>
            </a:solidFill>
          </a:ln>
          <a:effectLst/>
        </c:spPr>
        <c:dLbl>
          <c:idx val="0"/>
          <c:layout>
            <c:manualLayout>
              <c:x val="-9.456271816438129E-2"/>
              <c:y val="-0.1439999999999999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Table'!$K$18</c:f>
              <c:strCache>
                <c:ptCount val="1"/>
                <c:pt idx="0">
                  <c:v>Total</c:v>
                </c:pt>
              </c:strCache>
            </c:strRef>
          </c:tx>
          <c:spPr>
            <a:solidFill>
              <a:srgbClr val="C08552"/>
            </a:solidFill>
          </c:spPr>
          <c:explosion val="2"/>
          <c:dPt>
            <c:idx val="0"/>
            <c:bubble3D val="0"/>
            <c:spPr>
              <a:solidFill>
                <a:srgbClr val="FF9933"/>
              </a:solidFill>
              <a:ln w="19050">
                <a:solidFill>
                  <a:schemeClr val="lt1"/>
                </a:solidFill>
              </a:ln>
              <a:effectLst/>
            </c:spPr>
            <c:extLst>
              <c:ext xmlns:c16="http://schemas.microsoft.com/office/drawing/2014/chart" uri="{C3380CC4-5D6E-409C-BE32-E72D297353CC}">
                <c16:uniqueId val="{00000001-6E96-42C7-9436-020BDD8F877A}"/>
              </c:ext>
            </c:extLst>
          </c:dPt>
          <c:dPt>
            <c:idx val="1"/>
            <c:bubble3D val="0"/>
            <c:spPr>
              <a:solidFill>
                <a:srgbClr val="5E3023"/>
              </a:solidFill>
              <a:ln w="19050">
                <a:solidFill>
                  <a:schemeClr val="lt1"/>
                </a:solidFill>
              </a:ln>
              <a:effectLst/>
            </c:spPr>
            <c:extLst>
              <c:ext xmlns:c16="http://schemas.microsoft.com/office/drawing/2014/chart" uri="{C3380CC4-5D6E-409C-BE32-E72D297353CC}">
                <c16:uniqueId val="{00000003-6E96-42C7-9436-020BDD8F877A}"/>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6E96-42C7-9436-020BDD8F877A}"/>
              </c:ext>
            </c:extLst>
          </c:dPt>
          <c:dLbls>
            <c:dLbl>
              <c:idx val="0"/>
              <c:layout>
                <c:manualLayout>
                  <c:x val="0.12765966952191474"/>
                  <c:y val="-0.160000000000000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E96-42C7-9436-020BDD8F877A}"/>
                </c:ext>
              </c:extLst>
            </c:dLbl>
            <c:dLbl>
              <c:idx val="1"/>
              <c:layout>
                <c:manualLayout>
                  <c:x val="-0.13238780543013379"/>
                  <c:y val="0.117333333333333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E96-42C7-9436-020BDD8F877A}"/>
                </c:ext>
              </c:extLst>
            </c:dLbl>
            <c:dLbl>
              <c:idx val="2"/>
              <c:layout>
                <c:manualLayout>
                  <c:x val="-9.456271816438129E-2"/>
                  <c:y val="-0.143999999999999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E96-42C7-9436-020BDD8F877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Table'!$J$19:$J$22</c:f>
              <c:strCache>
                <c:ptCount val="3"/>
                <c:pt idx="0">
                  <c:v>Women</c:v>
                </c:pt>
                <c:pt idx="1">
                  <c:v>Men</c:v>
                </c:pt>
                <c:pt idx="2">
                  <c:v>Unisex</c:v>
                </c:pt>
              </c:strCache>
            </c:strRef>
          </c:cat>
          <c:val>
            <c:numRef>
              <c:f>'Pivot Table'!$K$19:$K$22</c:f>
              <c:numCache>
                <c:formatCode>_("$"* #,##0_);_("$"* \(#,##0\);_("$"* "-"??_);_(@_)</c:formatCode>
                <c:ptCount val="3"/>
                <c:pt idx="0">
                  <c:v>78150.780000000013</c:v>
                </c:pt>
                <c:pt idx="1">
                  <c:v>68502.160000000018</c:v>
                </c:pt>
                <c:pt idx="2">
                  <c:v>46450.12999999999</c:v>
                </c:pt>
              </c:numCache>
            </c:numRef>
          </c:val>
          <c:extLst>
            <c:ext xmlns:c16="http://schemas.microsoft.com/office/drawing/2014/chart" uri="{C3380CC4-5D6E-409C-BE32-E72D297353CC}">
              <c16:uniqueId val="{00000006-6E96-42C7-9436-020BDD8F877A}"/>
            </c:ext>
          </c:extLst>
        </c:ser>
        <c:dLbls>
          <c:showLegendKey val="0"/>
          <c:showVal val="1"/>
          <c:showCatName val="0"/>
          <c:showSerName val="0"/>
          <c:showPercent val="0"/>
          <c:showBubbleSize val="0"/>
          <c:showLeaderLines val="1"/>
        </c:dLbls>
        <c:firstSliceAng val="0"/>
        <c:holeSize val="43"/>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[sneakers_streetwear_sales_data.xlsx]Pivot Table!Product_Category_by_Revenue</c:name>
    <c:fmtId val="3"/>
  </c:pivotSource>
  <c:chart>
    <c:title>
      <c:tx>
        <c:rich>
          <a:bodyPr rot="0" spcFirstLastPara="1" vertOverflow="ellipsis" vert="horz" wrap="square" anchor="ctr" anchorCtr="1"/>
          <a:lstStyle/>
          <a:p>
            <a:pPr>
              <a:defRPr sz="1600" b="1" i="0" u="none" strike="noStrike" kern="1200" spc="0" baseline="0">
                <a:solidFill>
                  <a:srgbClr val="4C261C"/>
                </a:solidFill>
                <a:latin typeface="Arial" panose="020B0604020202020204" pitchFamily="34" charset="0"/>
                <a:ea typeface="+mn-ea"/>
                <a:cs typeface="Arial" panose="020B0604020202020204" pitchFamily="34" charset="0"/>
              </a:defRPr>
            </a:pPr>
            <a:r>
              <a:rPr lang="en-US" sz="1600" b="1">
                <a:solidFill>
                  <a:srgbClr val="4C261C"/>
                </a:solidFill>
                <a:latin typeface="Arial" panose="020B0604020202020204" pitchFamily="34" charset="0"/>
                <a:cs typeface="Arial" panose="020B0604020202020204" pitchFamily="34" charset="0"/>
              </a:rPr>
              <a:t>Revenue</a:t>
            </a:r>
            <a:r>
              <a:rPr lang="en-US" sz="1600" b="1" baseline="0">
                <a:solidFill>
                  <a:srgbClr val="4C261C"/>
                </a:solidFill>
                <a:latin typeface="Arial" panose="020B0604020202020204" pitchFamily="34" charset="0"/>
                <a:cs typeface="Arial" panose="020B0604020202020204" pitchFamily="34" charset="0"/>
              </a:rPr>
              <a:t> by Product Category</a:t>
            </a:r>
            <a:endParaRPr lang="en-US" sz="1600" b="1">
              <a:solidFill>
                <a:srgbClr val="4C261C"/>
              </a:solidFill>
              <a:latin typeface="Arial" panose="020B0604020202020204" pitchFamily="34" charset="0"/>
              <a:cs typeface="Arial" panose="020B0604020202020204" pitchFamily="34" charset="0"/>
            </a:endParaRPr>
          </a:p>
        </c:rich>
      </c:tx>
      <c:layout>
        <c:manualLayout>
          <c:xMode val="edge"/>
          <c:yMode val="edge"/>
          <c:x val="0.13608234883063905"/>
          <c:y val="4.3497827735293662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4C261C"/>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9933"/>
          </a:solidFill>
          <a:ln w="19050">
            <a:solidFill>
              <a:schemeClr val="lt1"/>
            </a:solidFill>
          </a:ln>
          <a:effectLst/>
        </c:spPr>
        <c:dLbl>
          <c:idx val="0"/>
          <c:layout>
            <c:manualLayout>
              <c:x val="0.1323196820257001"/>
              <c:y val="-6.2269837128302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4C261C"/>
          </a:solidFill>
          <a:ln w="19050">
            <a:solidFill>
              <a:schemeClr val="lt1"/>
            </a:solidFill>
          </a:ln>
          <a:effectLst/>
        </c:spPr>
        <c:dLbl>
          <c:idx val="0"/>
          <c:layout>
            <c:manualLayout>
              <c:x val="0.1600144991938699"/>
              <c:y val="3.11349185641514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8552"/>
          </a:solidFill>
          <a:ln w="19050">
            <a:solidFill>
              <a:schemeClr val="lt1"/>
            </a:solidFill>
          </a:ln>
          <a:effectLst/>
        </c:spPr>
        <c:dLbl>
          <c:idx val="0"/>
          <c:layout>
            <c:manualLayout>
              <c:x val="-0.11385647058025368"/>
              <c:y val="8.895691018328967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3847408584084908"/>
              <c:y val="-7.56133736557963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Table'!$H$26</c:f>
              <c:strCache>
                <c:ptCount val="1"/>
                <c:pt idx="0">
                  <c:v>Total</c:v>
                </c:pt>
              </c:strCache>
            </c:strRef>
          </c:tx>
          <c:explosion val="2"/>
          <c:dPt>
            <c:idx val="0"/>
            <c:bubble3D val="0"/>
            <c:spPr>
              <a:solidFill>
                <a:srgbClr val="FF9933"/>
              </a:solidFill>
              <a:ln w="19050">
                <a:solidFill>
                  <a:schemeClr val="lt1"/>
                </a:solidFill>
              </a:ln>
              <a:effectLst/>
            </c:spPr>
            <c:extLst>
              <c:ext xmlns:c16="http://schemas.microsoft.com/office/drawing/2014/chart" uri="{C3380CC4-5D6E-409C-BE32-E72D297353CC}">
                <c16:uniqueId val="{00000001-3309-4782-A59F-BC15DDB9721F}"/>
              </c:ext>
            </c:extLst>
          </c:dPt>
          <c:dPt>
            <c:idx val="1"/>
            <c:bubble3D val="0"/>
            <c:spPr>
              <a:solidFill>
                <a:srgbClr val="4C261C"/>
              </a:solidFill>
              <a:ln w="19050">
                <a:solidFill>
                  <a:schemeClr val="lt1"/>
                </a:solidFill>
              </a:ln>
              <a:effectLst/>
            </c:spPr>
            <c:extLst>
              <c:ext xmlns:c16="http://schemas.microsoft.com/office/drawing/2014/chart" uri="{C3380CC4-5D6E-409C-BE32-E72D297353CC}">
                <c16:uniqueId val="{00000003-3309-4782-A59F-BC15DDB9721F}"/>
              </c:ext>
            </c:extLst>
          </c:dPt>
          <c:dPt>
            <c:idx val="2"/>
            <c:bubble3D val="0"/>
            <c:spPr>
              <a:solidFill>
                <a:srgbClr val="C08552"/>
              </a:solidFill>
              <a:ln w="19050">
                <a:solidFill>
                  <a:schemeClr val="lt1"/>
                </a:solidFill>
              </a:ln>
              <a:effectLst/>
            </c:spPr>
            <c:extLst>
              <c:ext xmlns:c16="http://schemas.microsoft.com/office/drawing/2014/chart" uri="{C3380CC4-5D6E-409C-BE32-E72D297353CC}">
                <c16:uniqueId val="{00000005-3309-4782-A59F-BC15DDB9721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309-4782-A59F-BC15DDB9721F}"/>
              </c:ext>
            </c:extLst>
          </c:dPt>
          <c:dLbls>
            <c:dLbl>
              <c:idx val="0"/>
              <c:layout>
                <c:manualLayout>
                  <c:x val="0.1323196820257001"/>
                  <c:y val="-6.2269837128302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309-4782-A59F-BC15DDB9721F}"/>
                </c:ext>
              </c:extLst>
            </c:dLbl>
            <c:dLbl>
              <c:idx val="1"/>
              <c:layout>
                <c:manualLayout>
                  <c:x val="0.1600144991938699"/>
                  <c:y val="3.11349185641514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309-4782-A59F-BC15DDB9721F}"/>
                </c:ext>
              </c:extLst>
            </c:dLbl>
            <c:dLbl>
              <c:idx val="2"/>
              <c:layout>
                <c:manualLayout>
                  <c:x val="-0.11385647058025368"/>
                  <c:y val="8.89569101832896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309-4782-A59F-BC15DDB9721F}"/>
                </c:ext>
              </c:extLst>
            </c:dLbl>
            <c:dLbl>
              <c:idx val="3"/>
              <c:layout>
                <c:manualLayout>
                  <c:x val="-0.13847408584084908"/>
                  <c:y val="-7.56133736557963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309-4782-A59F-BC15DDB9721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Table'!$G$27:$G$31</c:f>
              <c:strCache>
                <c:ptCount val="4"/>
                <c:pt idx="0">
                  <c:v>Casual</c:v>
                </c:pt>
                <c:pt idx="1">
                  <c:v>Streetwear</c:v>
                </c:pt>
                <c:pt idx="2">
                  <c:v>Limited Edition</c:v>
                </c:pt>
                <c:pt idx="3">
                  <c:v>Sportswear</c:v>
                </c:pt>
              </c:strCache>
            </c:strRef>
          </c:cat>
          <c:val>
            <c:numRef>
              <c:f>'Pivot Table'!$H$27:$H$31</c:f>
              <c:numCache>
                <c:formatCode>_("$"* #,##0_);_("$"* \(#,##0\);_("$"* "-"??_);_(@_)</c:formatCode>
                <c:ptCount val="4"/>
                <c:pt idx="0">
                  <c:v>54378.619999999988</c:v>
                </c:pt>
                <c:pt idx="1">
                  <c:v>53725.120000000017</c:v>
                </c:pt>
                <c:pt idx="2">
                  <c:v>45297.499999999993</c:v>
                </c:pt>
                <c:pt idx="3">
                  <c:v>39701.829999999994</c:v>
                </c:pt>
              </c:numCache>
            </c:numRef>
          </c:val>
          <c:extLst>
            <c:ext xmlns:c16="http://schemas.microsoft.com/office/drawing/2014/chart" uri="{C3380CC4-5D6E-409C-BE32-E72D297353CC}">
              <c16:uniqueId val="{00000008-3309-4782-A59F-BC15DDB9721F}"/>
            </c:ext>
          </c:extLst>
        </c:ser>
        <c:dLbls>
          <c:showLegendKey val="0"/>
          <c:showVal val="1"/>
          <c:showCatName val="0"/>
          <c:showSerName val="0"/>
          <c:showPercent val="0"/>
          <c:showBubbleSize val="0"/>
          <c:showLeaderLines val="1"/>
        </c:dLbls>
        <c:firstSliceAng val="0"/>
        <c:holeSize val="5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[sneakers_streetwear_sales_data.xlsx]Pivot Table!Brand_by_Revenue</c:name>
    <c:fmtId val="3"/>
  </c:pivotSource>
  <c:chart>
    <c:title>
      <c:tx>
        <c:rich>
          <a:bodyPr rot="0" spcFirstLastPara="1" vertOverflow="ellipsis" vert="horz" wrap="square" anchor="ctr" anchorCtr="1"/>
          <a:lstStyle/>
          <a:p>
            <a:pPr>
              <a:defRPr sz="1600" b="1" i="0" u="none" strike="noStrike" kern="1200" spc="0" baseline="0">
                <a:solidFill>
                  <a:srgbClr val="4C261C"/>
                </a:solidFill>
                <a:latin typeface="Arial" panose="020B0604020202020204" pitchFamily="34" charset="0"/>
                <a:ea typeface="+mn-ea"/>
                <a:cs typeface="Arial" panose="020B0604020202020204" pitchFamily="34" charset="0"/>
              </a:defRPr>
            </a:pPr>
            <a:r>
              <a:rPr lang="en-US" sz="1600" b="1">
                <a:solidFill>
                  <a:srgbClr val="4C261C"/>
                </a:solidFill>
                <a:latin typeface="Arial" panose="020B0604020202020204" pitchFamily="34" charset="0"/>
                <a:cs typeface="Arial" panose="020B0604020202020204" pitchFamily="34" charset="0"/>
              </a:rPr>
              <a:t>Top</a:t>
            </a:r>
            <a:r>
              <a:rPr lang="en-US" sz="1600" b="1" baseline="0">
                <a:solidFill>
                  <a:srgbClr val="4C261C"/>
                </a:solidFill>
                <a:latin typeface="Arial" panose="020B0604020202020204" pitchFamily="34" charset="0"/>
                <a:cs typeface="Arial" panose="020B0604020202020204" pitchFamily="34" charset="0"/>
              </a:rPr>
              <a:t> 5 Brands by Revenue</a:t>
            </a:r>
            <a:endParaRPr lang="en-US" sz="1600" b="1">
              <a:solidFill>
                <a:srgbClr val="4C261C"/>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4C261C"/>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99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9933"/>
          </a:solidFill>
          <a:ln>
            <a:noFill/>
          </a:ln>
          <a:effectLst/>
        </c:spPr>
      </c:pivotFmt>
      <c:pivotFmt>
        <c:idx val="4"/>
        <c:spPr>
          <a:solidFill>
            <a:srgbClr val="4C261C"/>
          </a:solidFill>
          <a:ln>
            <a:noFill/>
          </a:ln>
          <a:effectLst/>
        </c:spPr>
      </c:pivotFmt>
      <c:pivotFmt>
        <c:idx val="5"/>
        <c:spPr>
          <a:solidFill>
            <a:srgbClr val="FF9933"/>
          </a:solidFill>
          <a:ln>
            <a:noFill/>
          </a:ln>
          <a:effectLst/>
        </c:spPr>
      </c:pivotFmt>
      <c:pivotFmt>
        <c:idx val="6"/>
        <c:spPr>
          <a:solidFill>
            <a:srgbClr val="4C261C"/>
          </a:solidFill>
          <a:ln>
            <a:noFill/>
          </a:ln>
          <a:effectLst/>
        </c:spPr>
      </c:pivotFmt>
      <c:pivotFmt>
        <c:idx val="7"/>
        <c:spPr>
          <a:solidFill>
            <a:srgbClr val="FF9933"/>
          </a:solidFill>
          <a:ln>
            <a:noFill/>
          </a:ln>
          <a:effectLst/>
        </c:spPr>
      </c:pivotFmt>
    </c:pivotFmts>
    <c:plotArea>
      <c:layout/>
      <c:barChart>
        <c:barDir val="col"/>
        <c:grouping val="clustered"/>
        <c:varyColors val="0"/>
        <c:ser>
          <c:idx val="0"/>
          <c:order val="0"/>
          <c:tx>
            <c:strRef>
              <c:f>'Pivot Table'!$B$7</c:f>
              <c:strCache>
                <c:ptCount val="1"/>
                <c:pt idx="0">
                  <c:v>Total</c:v>
                </c:pt>
              </c:strCache>
            </c:strRef>
          </c:tx>
          <c:spPr>
            <a:solidFill>
              <a:srgbClr val="FF9933"/>
            </a:solidFill>
            <a:ln>
              <a:noFill/>
            </a:ln>
            <a:effectLst/>
          </c:spPr>
          <c:invertIfNegative val="0"/>
          <c:dPt>
            <c:idx val="1"/>
            <c:invertIfNegative val="0"/>
            <c:bubble3D val="0"/>
            <c:spPr>
              <a:solidFill>
                <a:srgbClr val="4C261C"/>
              </a:solidFill>
              <a:ln>
                <a:noFill/>
              </a:ln>
              <a:effectLst/>
            </c:spPr>
            <c:extLst>
              <c:ext xmlns:c16="http://schemas.microsoft.com/office/drawing/2014/chart" uri="{C3380CC4-5D6E-409C-BE32-E72D297353CC}">
                <c16:uniqueId val="{00000002-A541-4D6B-B939-FA660C16D612}"/>
              </c:ext>
            </c:extLst>
          </c:dPt>
          <c:dPt>
            <c:idx val="3"/>
            <c:invertIfNegative val="0"/>
            <c:bubble3D val="0"/>
            <c:spPr>
              <a:solidFill>
                <a:srgbClr val="4C261C"/>
              </a:solidFill>
              <a:ln>
                <a:noFill/>
              </a:ln>
              <a:effectLst/>
            </c:spPr>
            <c:extLst>
              <c:ext xmlns:c16="http://schemas.microsoft.com/office/drawing/2014/chart" uri="{C3380CC4-5D6E-409C-BE32-E72D297353CC}">
                <c16:uniqueId val="{00000004-A541-4D6B-B939-FA660C16D61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Table'!$A$8:$A$15</c:f>
              <c:strCache>
                <c:ptCount val="7"/>
                <c:pt idx="0">
                  <c:v>Nike</c:v>
                </c:pt>
                <c:pt idx="1">
                  <c:v>Adidas</c:v>
                </c:pt>
                <c:pt idx="2">
                  <c:v>Off-White</c:v>
                </c:pt>
                <c:pt idx="3">
                  <c:v>Puma</c:v>
                </c:pt>
                <c:pt idx="4">
                  <c:v>Supreme</c:v>
                </c:pt>
                <c:pt idx="5">
                  <c:v>New Era</c:v>
                </c:pt>
                <c:pt idx="6">
                  <c:v>Essentials</c:v>
                </c:pt>
              </c:strCache>
            </c:strRef>
          </c:cat>
          <c:val>
            <c:numRef>
              <c:f>'Pivot Table'!$B$8:$B$15</c:f>
              <c:numCache>
                <c:formatCode>_("$"* #,##0_);_("$"* \(#,##0\);_("$"* "-"??_);_(@_)</c:formatCode>
                <c:ptCount val="7"/>
                <c:pt idx="0">
                  <c:v>67975.58</c:v>
                </c:pt>
                <c:pt idx="1">
                  <c:v>36858.43</c:v>
                </c:pt>
                <c:pt idx="2">
                  <c:v>24214.82</c:v>
                </c:pt>
                <c:pt idx="3">
                  <c:v>21342.019999999997</c:v>
                </c:pt>
                <c:pt idx="4">
                  <c:v>15647.51</c:v>
                </c:pt>
                <c:pt idx="5">
                  <c:v>13915.46</c:v>
                </c:pt>
                <c:pt idx="6">
                  <c:v>13149.249999999996</c:v>
                </c:pt>
              </c:numCache>
            </c:numRef>
          </c:val>
          <c:extLst>
            <c:ext xmlns:c16="http://schemas.microsoft.com/office/drawing/2014/chart" uri="{C3380CC4-5D6E-409C-BE32-E72D297353CC}">
              <c16:uniqueId val="{00000000-A541-4D6B-B939-FA660C16D612}"/>
            </c:ext>
          </c:extLst>
        </c:ser>
        <c:dLbls>
          <c:dLblPos val="outEnd"/>
          <c:showLegendKey val="0"/>
          <c:showVal val="1"/>
          <c:showCatName val="0"/>
          <c:showSerName val="0"/>
          <c:showPercent val="0"/>
          <c:showBubbleSize val="0"/>
        </c:dLbls>
        <c:gapWidth val="219"/>
        <c:overlap val="-27"/>
        <c:axId val="485307600"/>
        <c:axId val="548373384"/>
      </c:barChart>
      <c:catAx>
        <c:axId val="48530760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548373384"/>
        <c:crosses val="autoZero"/>
        <c:auto val="1"/>
        <c:lblAlgn val="ctr"/>
        <c:lblOffset val="100"/>
        <c:noMultiLvlLbl val="0"/>
      </c:catAx>
      <c:valAx>
        <c:axId val="548373384"/>
        <c:scaling>
          <c:orientation val="minMax"/>
        </c:scaling>
        <c:delete val="1"/>
        <c:axPos val="l"/>
        <c:numFmt formatCode="_(&quot;$&quot;* #,##0_);_(&quot;$&quot;* \(#,##0\);_(&quot;$&quot;* &quot;-&quot;??_);_(@_)" sourceLinked="1"/>
        <c:majorTickMark val="none"/>
        <c:minorTickMark val="none"/>
        <c:tickLblPos val="nextTo"/>
        <c:crossAx val="48530760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[sneakers_streetwear_sales_data.xlsx]Pivot Table!Products_by_Revenue</c:name>
    <c:fmtId val="10"/>
  </c:pivotSource>
  <c:chart>
    <c:title>
      <c:tx>
        <c:rich>
          <a:bodyPr rot="0" spcFirstLastPara="1" vertOverflow="ellipsis" vert="horz" wrap="square" anchor="ctr" anchorCtr="1"/>
          <a:lstStyle/>
          <a:p>
            <a:pPr>
              <a:defRPr sz="1600" b="1" i="0" u="none" strike="noStrike" kern="1200" spc="0" baseline="0">
                <a:solidFill>
                  <a:srgbClr val="5E3023"/>
                </a:solidFill>
                <a:latin typeface="Arial" panose="020B0604020202020204" pitchFamily="34" charset="0"/>
                <a:ea typeface="+mn-ea"/>
                <a:cs typeface="Arial" panose="020B0604020202020204" pitchFamily="34" charset="0"/>
              </a:defRPr>
            </a:pPr>
            <a:r>
              <a:rPr lang="en-US" sz="1600" b="1">
                <a:solidFill>
                  <a:srgbClr val="5E3023"/>
                </a:solidFill>
                <a:latin typeface="Arial" panose="020B0604020202020204" pitchFamily="34" charset="0"/>
                <a:cs typeface="Arial" panose="020B0604020202020204" pitchFamily="34" charset="0"/>
              </a:rPr>
              <a:t>Revenue by Product Name</a:t>
            </a: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5E3023"/>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C261C"/>
          </a:solidFill>
          <a:ln>
            <a:noFill/>
          </a:ln>
          <a:effectLst/>
        </c:spPr>
        <c:dLbl>
          <c:idx val="0"/>
          <c:layout>
            <c:manualLayout>
              <c:x val="-4.4201771690540265E-2"/>
              <c:y val="-4.054860021123585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8.8403543381080796E-3"/>
              <c:y val="-5.67680402957302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C261C"/>
          </a:solidFill>
          <a:ln>
            <a:noFill/>
          </a:ln>
          <a:effectLst/>
        </c:spPr>
        <c:dLbl>
          <c:idx val="0"/>
          <c:layout>
            <c:manualLayout>
              <c:x val="2.0627493455585455E-2"/>
              <c:y val="-6.082290031685378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9933"/>
          </a:solidFill>
          <a:ln>
            <a:noFill/>
          </a:ln>
          <a:effectLst/>
        </c:spPr>
      </c:pivotFmt>
      <c:pivotFmt>
        <c:idx val="7"/>
        <c:spPr>
          <a:solidFill>
            <a:srgbClr val="4C261C"/>
          </a:solidFill>
          <a:ln>
            <a:noFill/>
          </a:ln>
          <a:effectLst/>
        </c:spPr>
        <c:dLbl>
          <c:idx val="0"/>
          <c:layout>
            <c:manualLayout>
              <c:x val="-8.8403543381080536E-3"/>
              <c:y val="-8.51520604435953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9933"/>
          </a:solidFill>
          <a:ln>
            <a:noFill/>
          </a:ln>
          <a:effectLst/>
        </c:spPr>
        <c:dLbl>
          <c:idx val="0"/>
          <c:layout>
            <c:manualLayout>
              <c:x val="1.7680708676216107E-2"/>
              <c:y val="-4.865832025348303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4C261C"/>
          </a:solidFill>
          <a:ln>
            <a:noFill/>
          </a:ln>
          <a:effectLst/>
        </c:spPr>
      </c:pivotFmt>
      <c:pivotFmt>
        <c:idx val="10"/>
        <c:spPr>
          <a:solidFill>
            <a:srgbClr val="FF9933"/>
          </a:solidFill>
          <a:ln>
            <a:noFill/>
          </a:ln>
          <a:effectLst/>
        </c:spPr>
        <c:dLbl>
          <c:idx val="0"/>
          <c:layout>
            <c:manualLayout>
              <c:x val="0"/>
              <c:y val="-6.487776033797740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4C261C"/>
          </a:solidFill>
          <a:ln>
            <a:noFill/>
          </a:ln>
          <a:effectLst/>
        </c:spPr>
      </c:pivotFmt>
      <c:pivotFmt>
        <c:idx val="12"/>
        <c:spPr>
          <a:solidFill>
            <a:srgbClr val="FF9933"/>
          </a:solidFill>
          <a:ln>
            <a:noFill/>
          </a:ln>
          <a:effectLst/>
        </c:spPr>
        <c:dLbl>
          <c:idx val="0"/>
          <c:layout>
            <c:manualLayout>
              <c:x val="0"/>
              <c:y val="-8.109720042247171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4C261C"/>
          </a:solidFill>
          <a:ln>
            <a:noFill/>
          </a:ln>
          <a:effectLst/>
        </c:spPr>
        <c:dLbl>
          <c:idx val="0"/>
          <c:layout>
            <c:manualLayout>
              <c:x val="-4.4201771690540265E-2"/>
              <c:y val="-4.054860021123585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9933"/>
          </a:solidFill>
          <a:ln>
            <a:noFill/>
          </a:ln>
          <a:effectLst/>
        </c:spPr>
        <c:dLbl>
          <c:idx val="0"/>
          <c:layout>
            <c:manualLayout>
              <c:x val="-8.8403543381080796E-3"/>
              <c:y val="-5.67680402957302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4C261C"/>
          </a:solidFill>
          <a:ln>
            <a:noFill/>
          </a:ln>
          <a:effectLst/>
        </c:spPr>
        <c:dLbl>
          <c:idx val="0"/>
          <c:layout>
            <c:manualLayout>
              <c:x val="2.0627493455585455E-2"/>
              <c:y val="-6.082290031685378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9933"/>
          </a:solidFill>
          <a:ln>
            <a:noFill/>
          </a:ln>
          <a:effectLst/>
        </c:spPr>
      </c:pivotFmt>
      <c:pivotFmt>
        <c:idx val="18"/>
        <c:spPr>
          <a:solidFill>
            <a:srgbClr val="4C261C"/>
          </a:solidFill>
          <a:ln>
            <a:noFill/>
          </a:ln>
          <a:effectLst/>
        </c:spPr>
        <c:dLbl>
          <c:idx val="0"/>
          <c:layout>
            <c:manualLayout>
              <c:x val="-8.8403543381080536E-3"/>
              <c:y val="-8.51520604435953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9933"/>
          </a:solidFill>
          <a:ln>
            <a:noFill/>
          </a:ln>
          <a:effectLst/>
        </c:spPr>
        <c:dLbl>
          <c:idx val="0"/>
          <c:layout>
            <c:manualLayout>
              <c:x val="1.7680708676216107E-2"/>
              <c:y val="-4.865832025348303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4C261C"/>
          </a:solidFill>
          <a:ln>
            <a:noFill/>
          </a:ln>
          <a:effectLst/>
        </c:spPr>
      </c:pivotFmt>
      <c:pivotFmt>
        <c:idx val="21"/>
        <c:spPr>
          <a:solidFill>
            <a:srgbClr val="FF9933"/>
          </a:solidFill>
          <a:ln>
            <a:noFill/>
          </a:ln>
          <a:effectLst/>
        </c:spPr>
        <c:dLbl>
          <c:idx val="0"/>
          <c:layout>
            <c:manualLayout>
              <c:x val="0"/>
              <c:y val="-6.487776033797740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4C261C"/>
          </a:solidFill>
          <a:ln>
            <a:noFill/>
          </a:ln>
          <a:effectLst/>
        </c:spPr>
      </c:pivotFmt>
      <c:pivotFmt>
        <c:idx val="23"/>
        <c:spPr>
          <a:solidFill>
            <a:srgbClr val="FF9933"/>
          </a:solidFill>
          <a:ln>
            <a:noFill/>
          </a:ln>
          <a:effectLst/>
        </c:spPr>
        <c:dLbl>
          <c:idx val="0"/>
          <c:layout>
            <c:manualLayout>
              <c:x val="0"/>
              <c:y val="-8.109720042247171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Table'!$F$3</c:f>
              <c:strCache>
                <c:ptCount val="1"/>
                <c:pt idx="0">
                  <c:v>Total</c:v>
                </c:pt>
              </c:strCache>
            </c:strRef>
          </c:tx>
          <c:spPr>
            <a:solidFill>
              <a:schemeClr val="accent1"/>
            </a:solidFill>
            <a:ln>
              <a:noFill/>
            </a:ln>
            <a:effectLst/>
          </c:spPr>
          <c:invertIfNegative val="0"/>
          <c:dPt>
            <c:idx val="0"/>
            <c:invertIfNegative val="0"/>
            <c:bubble3D val="0"/>
            <c:spPr>
              <a:solidFill>
                <a:srgbClr val="4C261C"/>
              </a:solidFill>
              <a:ln>
                <a:noFill/>
              </a:ln>
              <a:effectLst/>
            </c:spPr>
            <c:extLst>
              <c:ext xmlns:c16="http://schemas.microsoft.com/office/drawing/2014/chart" uri="{C3380CC4-5D6E-409C-BE32-E72D297353CC}">
                <c16:uniqueId val="{00000002-770E-43D7-B090-B6B8700677E3}"/>
              </c:ext>
            </c:extLst>
          </c:dPt>
          <c:dPt>
            <c:idx val="1"/>
            <c:invertIfNegative val="0"/>
            <c:bubble3D val="0"/>
            <c:spPr>
              <a:solidFill>
                <a:srgbClr val="FF9933"/>
              </a:solidFill>
              <a:ln>
                <a:noFill/>
              </a:ln>
              <a:effectLst/>
            </c:spPr>
            <c:extLst>
              <c:ext xmlns:c16="http://schemas.microsoft.com/office/drawing/2014/chart" uri="{C3380CC4-5D6E-409C-BE32-E72D297353CC}">
                <c16:uniqueId val="{00000003-770E-43D7-B090-B6B8700677E3}"/>
              </c:ext>
            </c:extLst>
          </c:dPt>
          <c:dPt>
            <c:idx val="2"/>
            <c:invertIfNegative val="0"/>
            <c:bubble3D val="0"/>
            <c:spPr>
              <a:solidFill>
                <a:srgbClr val="4C261C"/>
              </a:solidFill>
              <a:ln>
                <a:noFill/>
              </a:ln>
              <a:effectLst/>
            </c:spPr>
            <c:extLst>
              <c:ext xmlns:c16="http://schemas.microsoft.com/office/drawing/2014/chart" uri="{C3380CC4-5D6E-409C-BE32-E72D297353CC}">
                <c16:uniqueId val="{00000004-770E-43D7-B090-B6B8700677E3}"/>
              </c:ext>
            </c:extLst>
          </c:dPt>
          <c:dPt>
            <c:idx val="3"/>
            <c:invertIfNegative val="0"/>
            <c:bubble3D val="0"/>
            <c:spPr>
              <a:solidFill>
                <a:srgbClr val="FF9933"/>
              </a:solidFill>
              <a:ln>
                <a:noFill/>
              </a:ln>
              <a:effectLst/>
            </c:spPr>
            <c:extLst>
              <c:ext xmlns:c16="http://schemas.microsoft.com/office/drawing/2014/chart" uri="{C3380CC4-5D6E-409C-BE32-E72D297353CC}">
                <c16:uniqueId val="{00000005-770E-43D7-B090-B6B8700677E3}"/>
              </c:ext>
            </c:extLst>
          </c:dPt>
          <c:dPt>
            <c:idx val="4"/>
            <c:invertIfNegative val="0"/>
            <c:bubble3D val="0"/>
            <c:spPr>
              <a:solidFill>
                <a:srgbClr val="4C261C"/>
              </a:solidFill>
              <a:ln>
                <a:noFill/>
              </a:ln>
              <a:effectLst/>
            </c:spPr>
            <c:extLst>
              <c:ext xmlns:c16="http://schemas.microsoft.com/office/drawing/2014/chart" uri="{C3380CC4-5D6E-409C-BE32-E72D297353CC}">
                <c16:uniqueId val="{00000006-770E-43D7-B090-B6B8700677E3}"/>
              </c:ext>
            </c:extLst>
          </c:dPt>
          <c:dPt>
            <c:idx val="5"/>
            <c:invertIfNegative val="0"/>
            <c:bubble3D val="0"/>
            <c:spPr>
              <a:solidFill>
                <a:srgbClr val="FF9933"/>
              </a:solidFill>
              <a:ln>
                <a:noFill/>
              </a:ln>
              <a:effectLst/>
            </c:spPr>
            <c:extLst>
              <c:ext xmlns:c16="http://schemas.microsoft.com/office/drawing/2014/chart" uri="{C3380CC4-5D6E-409C-BE32-E72D297353CC}">
                <c16:uniqueId val="{00000007-770E-43D7-B090-B6B8700677E3}"/>
              </c:ext>
            </c:extLst>
          </c:dPt>
          <c:dPt>
            <c:idx val="6"/>
            <c:invertIfNegative val="0"/>
            <c:bubble3D val="0"/>
            <c:spPr>
              <a:solidFill>
                <a:srgbClr val="4C261C"/>
              </a:solidFill>
              <a:ln>
                <a:noFill/>
              </a:ln>
              <a:effectLst/>
            </c:spPr>
            <c:extLst>
              <c:ext xmlns:c16="http://schemas.microsoft.com/office/drawing/2014/chart" uri="{C3380CC4-5D6E-409C-BE32-E72D297353CC}">
                <c16:uniqueId val="{00000008-770E-43D7-B090-B6B8700677E3}"/>
              </c:ext>
            </c:extLst>
          </c:dPt>
          <c:dPt>
            <c:idx val="7"/>
            <c:invertIfNegative val="0"/>
            <c:bubble3D val="0"/>
            <c:spPr>
              <a:solidFill>
                <a:srgbClr val="FF9933"/>
              </a:solidFill>
              <a:ln>
                <a:noFill/>
              </a:ln>
              <a:effectLst/>
            </c:spPr>
            <c:extLst>
              <c:ext xmlns:c16="http://schemas.microsoft.com/office/drawing/2014/chart" uri="{C3380CC4-5D6E-409C-BE32-E72D297353CC}">
                <c16:uniqueId val="{00000009-770E-43D7-B090-B6B8700677E3}"/>
              </c:ext>
            </c:extLst>
          </c:dPt>
          <c:dPt>
            <c:idx val="8"/>
            <c:invertIfNegative val="0"/>
            <c:bubble3D val="0"/>
            <c:spPr>
              <a:solidFill>
                <a:srgbClr val="4C261C"/>
              </a:solidFill>
              <a:ln>
                <a:noFill/>
              </a:ln>
              <a:effectLst/>
            </c:spPr>
            <c:extLst>
              <c:ext xmlns:c16="http://schemas.microsoft.com/office/drawing/2014/chart" uri="{C3380CC4-5D6E-409C-BE32-E72D297353CC}">
                <c16:uniqueId val="{0000000A-770E-43D7-B090-B6B8700677E3}"/>
              </c:ext>
            </c:extLst>
          </c:dPt>
          <c:dPt>
            <c:idx val="9"/>
            <c:invertIfNegative val="0"/>
            <c:bubble3D val="0"/>
            <c:spPr>
              <a:solidFill>
                <a:srgbClr val="FF9933"/>
              </a:solidFill>
              <a:ln>
                <a:noFill/>
              </a:ln>
              <a:effectLst/>
            </c:spPr>
            <c:extLst>
              <c:ext xmlns:c16="http://schemas.microsoft.com/office/drawing/2014/chart" uri="{C3380CC4-5D6E-409C-BE32-E72D297353CC}">
                <c16:uniqueId val="{0000000B-770E-43D7-B090-B6B8700677E3}"/>
              </c:ext>
            </c:extLst>
          </c:dPt>
          <c:dLbls>
            <c:dLbl>
              <c:idx val="0"/>
              <c:layout>
                <c:manualLayout>
                  <c:x val="-4.4201771690540265E-2"/>
                  <c:y val="-4.054860021123585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0E-43D7-B090-B6B8700677E3}"/>
                </c:ext>
              </c:extLst>
            </c:dLbl>
            <c:dLbl>
              <c:idx val="1"/>
              <c:layout>
                <c:manualLayout>
                  <c:x val="-8.8403543381080796E-3"/>
                  <c:y val="-5.67680402957302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0E-43D7-B090-B6B8700677E3}"/>
                </c:ext>
              </c:extLst>
            </c:dLbl>
            <c:dLbl>
              <c:idx val="2"/>
              <c:layout>
                <c:manualLayout>
                  <c:x val="2.0627493455585455E-2"/>
                  <c:y val="-6.082290031685378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0E-43D7-B090-B6B8700677E3}"/>
                </c:ext>
              </c:extLst>
            </c:dLbl>
            <c:dLbl>
              <c:idx val="4"/>
              <c:layout>
                <c:manualLayout>
                  <c:x val="-8.8403543381080536E-3"/>
                  <c:y val="-8.515206044359531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0E-43D7-B090-B6B8700677E3}"/>
                </c:ext>
              </c:extLst>
            </c:dLbl>
            <c:dLbl>
              <c:idx val="5"/>
              <c:layout>
                <c:manualLayout>
                  <c:x val="1.7680708676216107E-2"/>
                  <c:y val="-4.865832025348303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0E-43D7-B090-B6B8700677E3}"/>
                </c:ext>
              </c:extLst>
            </c:dLbl>
            <c:dLbl>
              <c:idx val="7"/>
              <c:layout>
                <c:manualLayout>
                  <c:x val="0"/>
                  <c:y val="-6.487776033797740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0E-43D7-B090-B6B8700677E3}"/>
                </c:ext>
              </c:extLst>
            </c:dLbl>
            <c:dLbl>
              <c:idx val="9"/>
              <c:layout>
                <c:manualLayout>
                  <c:x val="0"/>
                  <c:y val="-8.109720042247171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0E-43D7-B090-B6B8700677E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Table'!$E$4:$E$14</c:f>
              <c:strCache>
                <c:ptCount val="10"/>
                <c:pt idx="0">
                  <c:v>Off-White Hoodie</c:v>
                </c:pt>
                <c:pt idx="1">
                  <c:v>Nike Dunk Low</c:v>
                </c:pt>
                <c:pt idx="2">
                  <c:v>Nike Tech Fleece</c:v>
                </c:pt>
                <c:pt idx="3">
                  <c:v>Yeezy Boost 350</c:v>
                </c:pt>
                <c:pt idx="4">
                  <c:v>Puma Joggers</c:v>
                </c:pt>
                <c:pt idx="5">
                  <c:v>Jordan 1 High</c:v>
                </c:pt>
                <c:pt idx="6">
                  <c:v>Supreme Hoodie</c:v>
                </c:pt>
                <c:pt idx="7">
                  <c:v>Adidas Ultraboost</c:v>
                </c:pt>
                <c:pt idx="8">
                  <c:v>New Era Cap</c:v>
                </c:pt>
                <c:pt idx="9">
                  <c:v>Fear of God Essentials Tee</c:v>
                </c:pt>
              </c:strCache>
            </c:strRef>
          </c:cat>
          <c:val>
            <c:numRef>
              <c:f>'Pivot Table'!$F$4:$F$14</c:f>
              <c:numCache>
                <c:formatCode>_("$"* #,##0_);_("$"* \(#,##0\);_("$"* "-"_);_(@_)</c:formatCode>
                <c:ptCount val="10"/>
                <c:pt idx="0">
                  <c:v>24214.82</c:v>
                </c:pt>
                <c:pt idx="1">
                  <c:v>23634.39</c:v>
                </c:pt>
                <c:pt idx="2">
                  <c:v>23247.120000000006</c:v>
                </c:pt>
                <c:pt idx="3">
                  <c:v>21658.649999999994</c:v>
                </c:pt>
                <c:pt idx="4">
                  <c:v>21342.019999999997</c:v>
                </c:pt>
                <c:pt idx="5">
                  <c:v>21094.070000000003</c:v>
                </c:pt>
                <c:pt idx="6">
                  <c:v>15647.51</c:v>
                </c:pt>
                <c:pt idx="7">
                  <c:v>15199.78</c:v>
                </c:pt>
                <c:pt idx="8">
                  <c:v>13915.46</c:v>
                </c:pt>
                <c:pt idx="9">
                  <c:v>13149.249999999996</c:v>
                </c:pt>
              </c:numCache>
            </c:numRef>
          </c:val>
          <c:extLst>
            <c:ext xmlns:c16="http://schemas.microsoft.com/office/drawing/2014/chart" uri="{C3380CC4-5D6E-409C-BE32-E72D297353CC}">
              <c16:uniqueId val="{00000000-770E-43D7-B090-B6B8700677E3}"/>
            </c:ext>
          </c:extLst>
        </c:ser>
        <c:dLbls>
          <c:dLblPos val="outEnd"/>
          <c:showLegendKey val="0"/>
          <c:showVal val="1"/>
          <c:showCatName val="0"/>
          <c:showSerName val="0"/>
          <c:showPercent val="0"/>
          <c:showBubbleSize val="0"/>
        </c:dLbls>
        <c:gapWidth val="91"/>
        <c:overlap val="-27"/>
        <c:axId val="552770024"/>
        <c:axId val="552769664"/>
      </c:barChart>
      <c:catAx>
        <c:axId val="55277002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552769664"/>
        <c:crosses val="autoZero"/>
        <c:auto val="1"/>
        <c:lblAlgn val="ctr"/>
        <c:lblOffset val="100"/>
        <c:noMultiLvlLbl val="0"/>
      </c:catAx>
      <c:valAx>
        <c:axId val="552769664"/>
        <c:scaling>
          <c:orientation val="minMax"/>
        </c:scaling>
        <c:delete val="1"/>
        <c:axPos val="l"/>
        <c:numFmt formatCode="_(&quot;$&quot;* #,##0_);_(&quot;$&quot;* \(#,##0\);_(&quot;$&quot;* &quot;-&quot;_);_(@_)" sourceLinked="1"/>
        <c:majorTickMark val="out"/>
        <c:minorTickMark val="none"/>
        <c:tickLblPos val="nextTo"/>
        <c:crossAx val="552770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[sneakers_streetwear_sales_data.xlsx]Pivot Table!Revenue_by_country</c:name>
    <c:fmtId val="9"/>
  </c:pivotSource>
  <c:chart>
    <c:title>
      <c:tx>
        <c:rich>
          <a:bodyPr rot="0" spcFirstLastPara="1" vertOverflow="ellipsis" vert="horz" wrap="square" anchor="ctr" anchorCtr="1"/>
          <a:lstStyle/>
          <a:p>
            <a:pPr>
              <a:defRPr sz="1600" b="1" i="0" u="none" strike="noStrike" kern="1200" spc="0" baseline="0">
                <a:solidFill>
                  <a:srgbClr val="351805"/>
                </a:solidFill>
                <a:latin typeface="Arial" panose="020B0604020202020204" pitchFamily="34" charset="0"/>
                <a:ea typeface="+mn-ea"/>
                <a:cs typeface="Arial" panose="020B0604020202020204" pitchFamily="34" charset="0"/>
              </a:defRPr>
            </a:pPr>
            <a:r>
              <a:rPr lang="en-US" sz="1600" b="1">
                <a:solidFill>
                  <a:srgbClr val="351805"/>
                </a:solidFill>
                <a:latin typeface="Arial" panose="020B0604020202020204" pitchFamily="34" charset="0"/>
                <a:cs typeface="Arial" panose="020B0604020202020204" pitchFamily="34" charset="0"/>
              </a:rPr>
              <a:t>Revenue</a:t>
            </a:r>
            <a:r>
              <a:rPr lang="en-US" sz="1600" b="1" baseline="0">
                <a:solidFill>
                  <a:srgbClr val="351805"/>
                </a:solidFill>
                <a:latin typeface="Arial" panose="020B0604020202020204" pitchFamily="34" charset="0"/>
                <a:cs typeface="Arial" panose="020B0604020202020204" pitchFamily="34" charset="0"/>
              </a:rPr>
              <a:t> by Country</a:t>
            </a:r>
            <a:endParaRPr lang="en-US" sz="1600" b="1">
              <a:solidFill>
                <a:srgbClr val="351805"/>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351805"/>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5180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9933"/>
          </a:solidFill>
          <a:ln>
            <a:noFill/>
          </a:ln>
          <a:effectLst/>
        </c:spPr>
      </c:pivotFmt>
      <c:pivotFmt>
        <c:idx val="4"/>
        <c:spPr>
          <a:solidFill>
            <a:srgbClr val="FF9933"/>
          </a:solidFill>
          <a:ln>
            <a:noFill/>
          </a:ln>
          <a:effectLst/>
        </c:spPr>
      </c:pivotFmt>
      <c:pivotFmt>
        <c:idx val="5"/>
        <c:spPr>
          <a:solidFill>
            <a:srgbClr val="FF9933"/>
          </a:solidFill>
          <a:ln>
            <a:noFill/>
          </a:ln>
          <a:effectLst/>
        </c:spPr>
      </c:pivotFmt>
    </c:pivotFmts>
    <c:plotArea>
      <c:layout/>
      <c:barChart>
        <c:barDir val="bar"/>
        <c:grouping val="clustered"/>
        <c:varyColors val="0"/>
        <c:ser>
          <c:idx val="0"/>
          <c:order val="0"/>
          <c:tx>
            <c:strRef>
              <c:f>'Pivot Table'!$L$45</c:f>
              <c:strCache>
                <c:ptCount val="1"/>
                <c:pt idx="0">
                  <c:v>Total</c:v>
                </c:pt>
              </c:strCache>
            </c:strRef>
          </c:tx>
          <c:spPr>
            <a:solidFill>
              <a:srgbClr val="351805"/>
            </a:solidFill>
            <a:ln>
              <a:noFill/>
            </a:ln>
            <a:effectLst/>
          </c:spPr>
          <c:invertIfNegative val="0"/>
          <c:dPt>
            <c:idx val="1"/>
            <c:invertIfNegative val="0"/>
            <c:bubble3D val="0"/>
            <c:spPr>
              <a:solidFill>
                <a:srgbClr val="FF9933"/>
              </a:solidFill>
              <a:ln>
                <a:noFill/>
              </a:ln>
              <a:effectLst/>
            </c:spPr>
            <c:extLst>
              <c:ext xmlns:c16="http://schemas.microsoft.com/office/drawing/2014/chart" uri="{C3380CC4-5D6E-409C-BE32-E72D297353CC}">
                <c16:uniqueId val="{00000003-C776-4158-99C6-7EB687685856}"/>
              </c:ext>
            </c:extLst>
          </c:dPt>
          <c:dPt>
            <c:idx val="3"/>
            <c:invertIfNegative val="0"/>
            <c:bubble3D val="0"/>
            <c:spPr>
              <a:solidFill>
                <a:srgbClr val="FF9933"/>
              </a:solidFill>
              <a:ln>
                <a:noFill/>
              </a:ln>
              <a:effectLst/>
            </c:spPr>
            <c:extLst>
              <c:ext xmlns:c16="http://schemas.microsoft.com/office/drawing/2014/chart" uri="{C3380CC4-5D6E-409C-BE32-E72D297353CC}">
                <c16:uniqueId val="{00000002-C776-4158-99C6-7EB687685856}"/>
              </c:ext>
            </c:extLst>
          </c:dPt>
          <c:dPt>
            <c:idx val="5"/>
            <c:invertIfNegative val="0"/>
            <c:bubble3D val="0"/>
            <c:spPr>
              <a:solidFill>
                <a:srgbClr val="FF9933"/>
              </a:solidFill>
              <a:ln>
                <a:noFill/>
              </a:ln>
              <a:effectLst/>
            </c:spPr>
            <c:extLst>
              <c:ext xmlns:c16="http://schemas.microsoft.com/office/drawing/2014/chart" uri="{C3380CC4-5D6E-409C-BE32-E72D297353CC}">
                <c16:uniqueId val="{00000001-C776-4158-99C6-7EB68768585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Table'!$K$46:$K$53</c:f>
              <c:strCache>
                <c:ptCount val="7"/>
                <c:pt idx="0">
                  <c:v>Australia</c:v>
                </c:pt>
                <c:pt idx="1">
                  <c:v>Canada</c:v>
                </c:pt>
                <c:pt idx="2">
                  <c:v>Germany</c:v>
                </c:pt>
                <c:pt idx="3">
                  <c:v>India</c:v>
                </c:pt>
                <c:pt idx="4">
                  <c:v>Japan</c:v>
                </c:pt>
                <c:pt idx="5">
                  <c:v>UK</c:v>
                </c:pt>
                <c:pt idx="6">
                  <c:v>USA</c:v>
                </c:pt>
              </c:strCache>
            </c:strRef>
          </c:cat>
          <c:val>
            <c:numRef>
              <c:f>'Pivot Table'!$L$46:$L$53</c:f>
              <c:numCache>
                <c:formatCode>"$"#,##0</c:formatCode>
                <c:ptCount val="7"/>
                <c:pt idx="0">
                  <c:v>24094.02</c:v>
                </c:pt>
                <c:pt idx="1">
                  <c:v>30851.19000000001</c:v>
                </c:pt>
                <c:pt idx="2">
                  <c:v>29822.889999999992</c:v>
                </c:pt>
                <c:pt idx="3">
                  <c:v>20912.740000000002</c:v>
                </c:pt>
                <c:pt idx="4">
                  <c:v>31587.39</c:v>
                </c:pt>
                <c:pt idx="5">
                  <c:v>29739.249999999993</c:v>
                </c:pt>
                <c:pt idx="6">
                  <c:v>26095.589999999997</c:v>
                </c:pt>
              </c:numCache>
            </c:numRef>
          </c:val>
          <c:extLst>
            <c:ext xmlns:c16="http://schemas.microsoft.com/office/drawing/2014/chart" uri="{C3380CC4-5D6E-409C-BE32-E72D297353CC}">
              <c16:uniqueId val="{00000000-C776-4158-99C6-7EB687685856}"/>
            </c:ext>
          </c:extLst>
        </c:ser>
        <c:dLbls>
          <c:dLblPos val="outEnd"/>
          <c:showLegendKey val="0"/>
          <c:showVal val="1"/>
          <c:showCatName val="0"/>
          <c:showSerName val="0"/>
          <c:showPercent val="0"/>
          <c:showBubbleSize val="0"/>
        </c:dLbls>
        <c:gapWidth val="22"/>
        <c:axId val="631725240"/>
        <c:axId val="631725600"/>
      </c:barChart>
      <c:catAx>
        <c:axId val="631725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31725600"/>
        <c:crosses val="autoZero"/>
        <c:auto val="1"/>
        <c:lblAlgn val="ctr"/>
        <c:lblOffset val="100"/>
        <c:noMultiLvlLbl val="0"/>
      </c:catAx>
      <c:valAx>
        <c:axId val="631725600"/>
        <c:scaling>
          <c:orientation val="minMax"/>
        </c:scaling>
        <c:delete val="1"/>
        <c:axPos val="b"/>
        <c:numFmt formatCode="&quot;$&quot;#,##0" sourceLinked="1"/>
        <c:majorTickMark val="none"/>
        <c:minorTickMark val="none"/>
        <c:tickLblPos val="nextTo"/>
        <c:crossAx val="631725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[sneakers_streetwear_sales_data.xlsx]Pivot Table!Month_on_Month_Analysis</c:name>
    <c:fmtId val="40"/>
  </c:pivotSource>
  <c:chart>
    <c:title>
      <c:tx>
        <c:rich>
          <a:bodyPr rot="0" spcFirstLastPara="1" vertOverflow="ellipsis" vert="horz" wrap="square" anchor="ctr" anchorCtr="1"/>
          <a:lstStyle/>
          <a:p>
            <a:pPr algn="ctr">
              <a:defRPr sz="1600" b="1" i="0" u="none" strike="noStrike" kern="1200" spc="0" baseline="0">
                <a:solidFill>
                  <a:srgbClr val="351805"/>
                </a:solidFill>
                <a:latin typeface="Arial" panose="020B0604020202020204" pitchFamily="34" charset="0"/>
                <a:ea typeface="+mn-ea"/>
                <a:cs typeface="Arial" panose="020B0604020202020204" pitchFamily="34" charset="0"/>
              </a:defRPr>
            </a:pPr>
            <a:r>
              <a:rPr lang="en-US" sz="1600" b="1">
                <a:solidFill>
                  <a:srgbClr val="351805"/>
                </a:solidFill>
                <a:latin typeface="Arial" panose="020B0604020202020204" pitchFamily="34" charset="0"/>
                <a:cs typeface="Arial" panose="020B0604020202020204" pitchFamily="34" charset="0"/>
              </a:rPr>
              <a:t>Month</a:t>
            </a:r>
            <a:r>
              <a:rPr lang="en-US" sz="1600" b="1" baseline="0">
                <a:solidFill>
                  <a:srgbClr val="351805"/>
                </a:solidFill>
                <a:latin typeface="Arial" panose="020B0604020202020204" pitchFamily="34" charset="0"/>
                <a:cs typeface="Arial" panose="020B0604020202020204" pitchFamily="34" charset="0"/>
              </a:rPr>
              <a:t>-on-Month Revenue Analysis</a:t>
            </a:r>
            <a:endParaRPr lang="en-US" sz="1600" b="1">
              <a:solidFill>
                <a:srgbClr val="351805"/>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lgn="ctr">
            <a:defRPr sz="1600" b="1" i="0" u="none" strike="noStrike" kern="1200" spc="0" baseline="0">
              <a:solidFill>
                <a:srgbClr val="351805"/>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5180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9933"/>
          </a:solidFill>
          <a:ln>
            <a:noFill/>
          </a:ln>
          <a:effectLst/>
        </c:spPr>
      </c:pivotFmt>
      <c:pivotFmt>
        <c:idx val="7"/>
        <c:spPr>
          <a:solidFill>
            <a:srgbClr val="FF9933"/>
          </a:solidFill>
          <a:ln>
            <a:noFill/>
          </a:ln>
          <a:effectLst/>
        </c:spPr>
      </c:pivotFmt>
      <c:pivotFmt>
        <c:idx val="8"/>
        <c:spPr>
          <a:solidFill>
            <a:srgbClr val="FF9933"/>
          </a:solidFill>
          <a:ln>
            <a:noFill/>
          </a:ln>
          <a:effectLst/>
        </c:spPr>
      </c:pivotFmt>
      <c:pivotFmt>
        <c:idx val="9"/>
        <c:spPr>
          <a:solidFill>
            <a:srgbClr val="FF9933"/>
          </a:solidFill>
          <a:ln>
            <a:noFill/>
          </a:ln>
          <a:effectLst/>
        </c:spPr>
      </c:pivotFmt>
      <c:pivotFmt>
        <c:idx val="10"/>
        <c:spPr>
          <a:ln w="28575" cap="rnd">
            <a:solidFill>
              <a:schemeClr val="accent2"/>
            </a:solidFill>
            <a:round/>
          </a:ln>
          <a:effectLst/>
        </c:spPr>
        <c:marker>
          <c:symbol val="none"/>
        </c:marker>
        <c:dLbl>
          <c:idx val="0"/>
          <c:layout>
            <c:manualLayout>
              <c:x val="-5.2422913550350177E-2"/>
              <c:y val="3.79182074739672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solidFill>
            <a:round/>
          </a:ln>
          <a:effectLst/>
        </c:spPr>
        <c:marker>
          <c:symbol val="none"/>
        </c:marker>
        <c:dLbl>
          <c:idx val="0"/>
          <c:layout>
            <c:manualLayout>
              <c:x val="-3.494860903356678E-2"/>
              <c:y val="-0.1095414882581278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Table'!$E$35</c:f>
              <c:strCache>
                <c:ptCount val="1"/>
                <c:pt idx="0">
                  <c:v>Revenue</c:v>
                </c:pt>
              </c:strCache>
            </c:strRef>
          </c:tx>
          <c:spPr>
            <a:solidFill>
              <a:srgbClr val="351805"/>
            </a:solidFill>
            <a:ln>
              <a:noFill/>
            </a:ln>
            <a:effectLst/>
          </c:spPr>
          <c:invertIfNegative val="0"/>
          <c:dPt>
            <c:idx val="1"/>
            <c:invertIfNegative val="0"/>
            <c:bubble3D val="0"/>
            <c:spPr>
              <a:solidFill>
                <a:srgbClr val="FF9933"/>
              </a:solidFill>
              <a:ln>
                <a:noFill/>
              </a:ln>
              <a:effectLst/>
            </c:spPr>
            <c:extLst>
              <c:ext xmlns:c16="http://schemas.microsoft.com/office/drawing/2014/chart" uri="{C3380CC4-5D6E-409C-BE32-E72D297353CC}">
                <c16:uniqueId val="{00000002-E6A4-469E-9AC5-CF8EF56F4530}"/>
              </c:ext>
            </c:extLst>
          </c:dPt>
          <c:dPt>
            <c:idx val="3"/>
            <c:invertIfNegative val="0"/>
            <c:bubble3D val="0"/>
            <c:spPr>
              <a:solidFill>
                <a:srgbClr val="FF9933"/>
              </a:solidFill>
              <a:ln>
                <a:noFill/>
              </a:ln>
              <a:effectLst/>
            </c:spPr>
            <c:extLst>
              <c:ext xmlns:c16="http://schemas.microsoft.com/office/drawing/2014/chart" uri="{C3380CC4-5D6E-409C-BE32-E72D297353CC}">
                <c16:uniqueId val="{00000003-E6A4-469E-9AC5-CF8EF56F4530}"/>
              </c:ext>
            </c:extLst>
          </c:dPt>
          <c:dPt>
            <c:idx val="5"/>
            <c:invertIfNegative val="0"/>
            <c:bubble3D val="0"/>
            <c:spPr>
              <a:solidFill>
                <a:srgbClr val="FF9933"/>
              </a:solidFill>
              <a:ln>
                <a:noFill/>
              </a:ln>
              <a:effectLst/>
            </c:spPr>
            <c:extLst>
              <c:ext xmlns:c16="http://schemas.microsoft.com/office/drawing/2014/chart" uri="{C3380CC4-5D6E-409C-BE32-E72D297353CC}">
                <c16:uniqueId val="{00000004-E6A4-469E-9AC5-CF8EF56F4530}"/>
              </c:ext>
            </c:extLst>
          </c:dPt>
          <c:dPt>
            <c:idx val="7"/>
            <c:invertIfNegative val="0"/>
            <c:bubble3D val="0"/>
            <c:spPr>
              <a:solidFill>
                <a:srgbClr val="FF9933"/>
              </a:solidFill>
              <a:ln>
                <a:noFill/>
              </a:ln>
              <a:effectLst/>
            </c:spPr>
            <c:extLst>
              <c:ext xmlns:c16="http://schemas.microsoft.com/office/drawing/2014/chart" uri="{C3380CC4-5D6E-409C-BE32-E72D297353CC}">
                <c16:uniqueId val="{00000005-E6A4-469E-9AC5-CF8EF56F453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Table'!$D$36:$D$44</c:f>
              <c:strCache>
                <c:ptCount val="8"/>
                <c:pt idx="0">
                  <c:v>January</c:v>
                </c:pt>
                <c:pt idx="1">
                  <c:v>February</c:v>
                </c:pt>
                <c:pt idx="2">
                  <c:v>March</c:v>
                </c:pt>
                <c:pt idx="3">
                  <c:v>April</c:v>
                </c:pt>
                <c:pt idx="4">
                  <c:v>May</c:v>
                </c:pt>
                <c:pt idx="5">
                  <c:v>June</c:v>
                </c:pt>
                <c:pt idx="6">
                  <c:v>July</c:v>
                </c:pt>
                <c:pt idx="7">
                  <c:v>August</c:v>
                </c:pt>
              </c:strCache>
            </c:strRef>
          </c:cat>
          <c:val>
            <c:numRef>
              <c:f>'Pivot Table'!$E$36:$E$44</c:f>
              <c:numCache>
                <c:formatCode>_("$"* #,##0_);_("$"* \(#,##0\);_("$"* "-"??_);_(@_)</c:formatCode>
                <c:ptCount val="8"/>
                <c:pt idx="0">
                  <c:v>23067.919999999998</c:v>
                </c:pt>
                <c:pt idx="1">
                  <c:v>20393.540000000008</c:v>
                </c:pt>
                <c:pt idx="2">
                  <c:v>29043.180000000004</c:v>
                </c:pt>
                <c:pt idx="3">
                  <c:v>17176.88</c:v>
                </c:pt>
                <c:pt idx="4">
                  <c:v>20397.439999999999</c:v>
                </c:pt>
                <c:pt idx="5">
                  <c:v>26089.219999999998</c:v>
                </c:pt>
                <c:pt idx="6">
                  <c:v>32073.430000000004</c:v>
                </c:pt>
                <c:pt idx="7">
                  <c:v>24861.460000000006</c:v>
                </c:pt>
              </c:numCache>
            </c:numRef>
          </c:val>
          <c:extLst>
            <c:ext xmlns:c16="http://schemas.microsoft.com/office/drawing/2014/chart" uri="{C3380CC4-5D6E-409C-BE32-E72D297353CC}">
              <c16:uniqueId val="{00000000-E6A4-469E-9AC5-CF8EF56F4530}"/>
            </c:ext>
          </c:extLst>
        </c:ser>
        <c:dLbls>
          <c:showLegendKey val="0"/>
          <c:showVal val="1"/>
          <c:showCatName val="0"/>
          <c:showSerName val="0"/>
          <c:showPercent val="0"/>
          <c:showBubbleSize val="0"/>
        </c:dLbls>
        <c:gapWidth val="60"/>
        <c:overlap val="-27"/>
        <c:axId val="588317304"/>
        <c:axId val="588318024"/>
      </c:barChart>
      <c:lineChart>
        <c:grouping val="standard"/>
        <c:varyColors val="0"/>
        <c:ser>
          <c:idx val="1"/>
          <c:order val="1"/>
          <c:tx>
            <c:strRef>
              <c:f>'Pivot Table'!$F$35</c:f>
              <c:strCache>
                <c:ptCount val="1"/>
                <c:pt idx="0">
                  <c:v>Month on Month Analysis</c:v>
                </c:pt>
              </c:strCache>
            </c:strRef>
          </c:tx>
          <c:spPr>
            <a:ln w="28575" cap="rnd">
              <a:solidFill>
                <a:schemeClr val="accent2"/>
              </a:solidFill>
              <a:round/>
            </a:ln>
            <a:effectLst/>
          </c:spPr>
          <c:marker>
            <c:symbol val="none"/>
          </c:marker>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6-E6A4-469E-9AC5-CF8EF56F4530}"/>
              </c:ext>
            </c:extLst>
          </c:dPt>
          <c:dPt>
            <c:idx val="3"/>
            <c:marker>
              <c:symbol val="none"/>
            </c:marker>
            <c:bubble3D val="0"/>
            <c:spPr>
              <a:ln w="28575" cap="rnd">
                <a:solidFill>
                  <a:schemeClr val="accent2"/>
                </a:solidFill>
                <a:round/>
              </a:ln>
              <a:effectLst/>
            </c:spPr>
            <c:extLst>
              <c:ext xmlns:c16="http://schemas.microsoft.com/office/drawing/2014/chart" uri="{C3380CC4-5D6E-409C-BE32-E72D297353CC}">
                <c16:uniqueId val="{00000007-E6A4-469E-9AC5-CF8EF56F4530}"/>
              </c:ext>
            </c:extLst>
          </c:dPt>
          <c:dLbls>
            <c:dLbl>
              <c:idx val="1"/>
              <c:layout>
                <c:manualLayout>
                  <c:x val="-5.2422913550350177E-2"/>
                  <c:y val="3.79182074739672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A4-469E-9AC5-CF8EF56F4530}"/>
                </c:ext>
              </c:extLst>
            </c:dLbl>
            <c:dLbl>
              <c:idx val="3"/>
              <c:layout>
                <c:manualLayout>
                  <c:x val="-3.494860903356678E-2"/>
                  <c:y val="-0.109541488258127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A4-469E-9AC5-CF8EF56F453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Table'!$D$36:$D$44</c:f>
              <c:strCache>
                <c:ptCount val="8"/>
                <c:pt idx="0">
                  <c:v>January</c:v>
                </c:pt>
                <c:pt idx="1">
                  <c:v>February</c:v>
                </c:pt>
                <c:pt idx="2">
                  <c:v>March</c:v>
                </c:pt>
                <c:pt idx="3">
                  <c:v>April</c:v>
                </c:pt>
                <c:pt idx="4">
                  <c:v>May</c:v>
                </c:pt>
                <c:pt idx="5">
                  <c:v>June</c:v>
                </c:pt>
                <c:pt idx="6">
                  <c:v>July</c:v>
                </c:pt>
                <c:pt idx="7">
                  <c:v>August</c:v>
                </c:pt>
              </c:strCache>
            </c:strRef>
          </c:cat>
          <c:val>
            <c:numRef>
              <c:f>'Pivot Table'!$F$36:$F$44</c:f>
              <c:numCache>
                <c:formatCode>0.00%</c:formatCode>
                <c:ptCount val="8"/>
                <c:pt idx="1">
                  <c:v>-0.1159350301197503</c:v>
                </c:pt>
                <c:pt idx="2">
                  <c:v>0.2590289891763109</c:v>
                </c:pt>
                <c:pt idx="3">
                  <c:v>-0.25537803148268234</c:v>
                </c:pt>
                <c:pt idx="4">
                  <c:v>-0.11576596416148485</c:v>
                </c:pt>
                <c:pt idx="5">
                  <c:v>0.13097409736118382</c:v>
                </c:pt>
                <c:pt idx="6">
                  <c:v>0.39039107123659206</c:v>
                </c:pt>
                <c:pt idx="7">
                  <c:v>7.7750399689265795E-2</c:v>
                </c:pt>
              </c:numCache>
            </c:numRef>
          </c:val>
          <c:smooth val="1"/>
          <c:extLst>
            <c:ext xmlns:c16="http://schemas.microsoft.com/office/drawing/2014/chart" uri="{C3380CC4-5D6E-409C-BE32-E72D297353CC}">
              <c16:uniqueId val="{00000001-E6A4-469E-9AC5-CF8EF56F4530}"/>
            </c:ext>
          </c:extLst>
        </c:ser>
        <c:dLbls>
          <c:showLegendKey val="0"/>
          <c:showVal val="1"/>
          <c:showCatName val="0"/>
          <c:showSerName val="0"/>
          <c:showPercent val="0"/>
          <c:showBubbleSize val="0"/>
        </c:dLbls>
        <c:marker val="1"/>
        <c:smooth val="0"/>
        <c:axId val="631726320"/>
        <c:axId val="631723800"/>
      </c:lineChart>
      <c:catAx>
        <c:axId val="588317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88318024"/>
        <c:crosses val="autoZero"/>
        <c:auto val="1"/>
        <c:lblAlgn val="ctr"/>
        <c:lblOffset val="100"/>
        <c:noMultiLvlLbl val="0"/>
      </c:catAx>
      <c:valAx>
        <c:axId val="588318024"/>
        <c:scaling>
          <c:orientation val="minMax"/>
        </c:scaling>
        <c:delete val="0"/>
        <c:axPos val="l"/>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88317304"/>
        <c:crosses val="autoZero"/>
        <c:crossBetween val="between"/>
      </c:valAx>
      <c:valAx>
        <c:axId val="63172380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31726320"/>
        <c:crosses val="max"/>
        <c:crossBetween val="between"/>
      </c:valAx>
      <c:catAx>
        <c:axId val="631726320"/>
        <c:scaling>
          <c:orientation val="minMax"/>
        </c:scaling>
        <c:delete val="1"/>
        <c:axPos val="t"/>
        <c:numFmt formatCode="General" sourceLinked="1"/>
        <c:majorTickMark val="out"/>
        <c:minorTickMark val="none"/>
        <c:tickLblPos val="nextTo"/>
        <c:crossAx val="631723800"/>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4</xdr:col>
      <xdr:colOff>438150</xdr:colOff>
      <xdr:row>45</xdr:row>
      <xdr:rowOff>19050</xdr:rowOff>
    </xdr:from>
    <xdr:to>
      <xdr:col>5</xdr:col>
      <xdr:colOff>1600200</xdr:colOff>
      <xdr:row>53</xdr:row>
      <xdr:rowOff>161925</xdr:rowOff>
    </xdr:to>
    <mc:AlternateContent xmlns:mc="http://schemas.openxmlformats.org/markup-compatibility/2006" xmlns:a14="http://schemas.microsoft.com/office/drawing/2010/main">
      <mc:Choice Requires="a14">
        <xdr:graphicFrame macro="">
          <xdr:nvGraphicFramePr>
            <xdr:cNvPr id="4" name="Product Type">
              <a:extLst>
                <a:ext uri="{FF2B5EF4-FFF2-40B4-BE49-F238E27FC236}">
                  <a16:creationId xmlns:a16="http://schemas.microsoft.com/office/drawing/2014/main" id="{9F2424D2-16F1-D305-2436-C135762D40CA}"/>
                </a:ext>
              </a:extLst>
            </xdr:cNvPr>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mlns="">
        <xdr:sp macro="" textlink="">
          <xdr:nvSpPr>
            <xdr:cNvPr id="0" name=""/>
            <xdr:cNvSpPr>
              <a:spLocks noTextEdit="1"/>
            </xdr:cNvSpPr>
          </xdr:nvSpPr>
          <xdr:spPr>
            <a:xfrm>
              <a:off x="4200525" y="8591550"/>
              <a:ext cx="1828800" cy="1666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36</xdr:row>
      <xdr:rowOff>9526</xdr:rowOff>
    </xdr:from>
    <xdr:to>
      <xdr:col>1</xdr:col>
      <xdr:colOff>657225</xdr:colOff>
      <xdr:row>42</xdr:row>
      <xdr:rowOff>85726</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9907D939-B99B-2281-B473-E0F6245A081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8100" y="6867526"/>
              <a:ext cx="182880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819150</xdr:colOff>
      <xdr:row>58</xdr:row>
      <xdr:rowOff>76200</xdr:rowOff>
    </xdr:from>
    <xdr:to>
      <xdr:col>4</xdr:col>
      <xdr:colOff>95250</xdr:colOff>
      <xdr:row>65</xdr:row>
      <xdr:rowOff>142875</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BA2AD276-49AF-6AE3-5E4E-DEA2E22B377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028825" y="11125200"/>
              <a:ext cx="1828800" cy="1400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38100</xdr:colOff>
      <xdr:row>45</xdr:row>
      <xdr:rowOff>0</xdr:rowOff>
    </xdr:from>
    <xdr:to>
      <xdr:col>4</xdr:col>
      <xdr:colOff>190500</xdr:colOff>
      <xdr:row>56</xdr:row>
      <xdr:rowOff>123825</xdr:rowOff>
    </xdr:to>
    <mc:AlternateContent xmlns:mc="http://schemas.openxmlformats.org/markup-compatibility/2006" xmlns:a14="http://schemas.microsoft.com/office/drawing/2010/main">
      <mc:Choice Requires="a14">
        <xdr:graphicFrame macro="">
          <xdr:nvGraphicFramePr>
            <xdr:cNvPr id="8" name="Country">
              <a:extLst>
                <a:ext uri="{FF2B5EF4-FFF2-40B4-BE49-F238E27FC236}">
                  <a16:creationId xmlns:a16="http://schemas.microsoft.com/office/drawing/2014/main" id="{87399051-1AA1-4AE3-7D29-A2D21156F7A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124075" y="8572500"/>
              <a:ext cx="1828800" cy="2219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476250</xdr:colOff>
      <xdr:row>57</xdr:row>
      <xdr:rowOff>85726</xdr:rowOff>
    </xdr:from>
    <xdr:to>
      <xdr:col>6</xdr:col>
      <xdr:colOff>19050</xdr:colOff>
      <xdr:row>64</xdr:row>
      <xdr:rowOff>133350</xdr:rowOff>
    </xdr:to>
    <mc:AlternateContent xmlns:mc="http://schemas.openxmlformats.org/markup-compatibility/2006" xmlns:a14="http://schemas.microsoft.com/office/drawing/2010/main">
      <mc:Choice Requires="a14">
        <xdr:graphicFrame macro="">
          <xdr:nvGraphicFramePr>
            <xdr:cNvPr id="9" name="Payment Mode">
              <a:extLst>
                <a:ext uri="{FF2B5EF4-FFF2-40B4-BE49-F238E27FC236}">
                  <a16:creationId xmlns:a16="http://schemas.microsoft.com/office/drawing/2014/main" id="{083510DC-C454-572D-02D3-0D209A472A4D}"/>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4238625" y="10944226"/>
              <a:ext cx="1828800" cy="1381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42</xdr:row>
      <xdr:rowOff>180976</xdr:rowOff>
    </xdr:from>
    <xdr:to>
      <xdr:col>1</xdr:col>
      <xdr:colOff>619125</xdr:colOff>
      <xdr:row>54</xdr:row>
      <xdr:rowOff>142876</xdr:rowOff>
    </xdr:to>
    <mc:AlternateContent xmlns:mc="http://schemas.openxmlformats.org/markup-compatibility/2006" xmlns:a14="http://schemas.microsoft.com/office/drawing/2010/main">
      <mc:Choice Requires="a14">
        <xdr:graphicFrame macro="">
          <xdr:nvGraphicFramePr>
            <xdr:cNvPr id="10" name="Brand 1">
              <a:extLst>
                <a:ext uri="{FF2B5EF4-FFF2-40B4-BE49-F238E27FC236}">
                  <a16:creationId xmlns:a16="http://schemas.microsoft.com/office/drawing/2014/main" id="{81309A27-76A5-4167-9AA8-4A596DFF73EC}"/>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0" y="8181976"/>
              <a:ext cx="1828800" cy="2247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55</xdr:row>
      <xdr:rowOff>66675</xdr:rowOff>
    </xdr:from>
    <xdr:to>
      <xdr:col>1</xdr:col>
      <xdr:colOff>619125</xdr:colOff>
      <xdr:row>65</xdr:row>
      <xdr:rowOff>76200</xdr:rowOff>
    </xdr:to>
    <mc:AlternateContent xmlns:mc="http://schemas.openxmlformats.org/markup-compatibility/2006" xmlns:a14="http://schemas.microsoft.com/office/drawing/2010/main">
      <mc:Choice Requires="a14">
        <xdr:graphicFrame macro="">
          <xdr:nvGraphicFramePr>
            <xdr:cNvPr id="11" name="Month 1">
              <a:extLst>
                <a:ext uri="{FF2B5EF4-FFF2-40B4-BE49-F238E27FC236}">
                  <a16:creationId xmlns:a16="http://schemas.microsoft.com/office/drawing/2014/main" id="{B0BB5E1F-884B-45D9-8264-BD3AF189FCD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0" y="10544175"/>
              <a:ext cx="1828800" cy="1914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23</xdr:col>
      <xdr:colOff>100853</xdr:colOff>
      <xdr:row>52</xdr:row>
      <xdr:rowOff>134471</xdr:rowOff>
    </xdr:to>
    <xdr:sp macro="" textlink="">
      <xdr:nvSpPr>
        <xdr:cNvPr id="4" name="Rectangle 3">
          <a:extLst>
            <a:ext uri="{FF2B5EF4-FFF2-40B4-BE49-F238E27FC236}">
              <a16:creationId xmlns:a16="http://schemas.microsoft.com/office/drawing/2014/main" id="{46CA2DBE-E6E0-5BB0-85F9-A62F784AC4E6}"/>
            </a:ext>
          </a:extLst>
        </xdr:cNvPr>
        <xdr:cNvSpPr/>
      </xdr:nvSpPr>
      <xdr:spPr>
        <a:xfrm>
          <a:off x="0" y="0"/>
          <a:ext cx="13413441" cy="9849971"/>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bg1"/>
              </a:solidFill>
            </a:rPr>
            <a:t>===</a:t>
          </a:r>
        </a:p>
      </xdr:txBody>
    </xdr:sp>
    <xdr:clientData/>
  </xdr:twoCellAnchor>
  <xdr:twoCellAnchor>
    <xdr:from>
      <xdr:col>1</xdr:col>
      <xdr:colOff>0</xdr:colOff>
      <xdr:row>1</xdr:row>
      <xdr:rowOff>0</xdr:rowOff>
    </xdr:from>
    <xdr:to>
      <xdr:col>23</xdr:col>
      <xdr:colOff>13608</xdr:colOff>
      <xdr:row>3</xdr:row>
      <xdr:rowOff>27214</xdr:rowOff>
    </xdr:to>
    <xdr:sp macro="" textlink="">
      <xdr:nvSpPr>
        <xdr:cNvPr id="5" name="Rectangle 4">
          <a:extLst>
            <a:ext uri="{FF2B5EF4-FFF2-40B4-BE49-F238E27FC236}">
              <a16:creationId xmlns:a16="http://schemas.microsoft.com/office/drawing/2014/main" id="{63D87921-D2C6-56A5-5C35-0DC2ED364D9C}"/>
            </a:ext>
          </a:extLst>
        </xdr:cNvPr>
        <xdr:cNvSpPr/>
      </xdr:nvSpPr>
      <xdr:spPr>
        <a:xfrm flipV="1">
          <a:off x="0" y="0"/>
          <a:ext cx="13484679" cy="408214"/>
        </a:xfrm>
        <a:prstGeom prst="rect">
          <a:avLst/>
        </a:prstGeom>
        <a:solidFill>
          <a:srgbClr val="FF993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168087</xdr:colOff>
      <xdr:row>1</xdr:row>
      <xdr:rowOff>44825</xdr:rowOff>
    </xdr:from>
    <xdr:to>
      <xdr:col>22</xdr:col>
      <xdr:colOff>44822</xdr:colOff>
      <xdr:row>3</xdr:row>
      <xdr:rowOff>67235</xdr:rowOff>
    </xdr:to>
    <xdr:sp macro="" textlink="">
      <xdr:nvSpPr>
        <xdr:cNvPr id="6" name="TextBox 5">
          <a:extLst>
            <a:ext uri="{FF2B5EF4-FFF2-40B4-BE49-F238E27FC236}">
              <a16:creationId xmlns:a16="http://schemas.microsoft.com/office/drawing/2014/main" id="{D698DA1D-DA14-615F-4B05-A28EDD218B7B}"/>
            </a:ext>
          </a:extLst>
        </xdr:cNvPr>
        <xdr:cNvSpPr txBox="1"/>
      </xdr:nvSpPr>
      <xdr:spPr>
        <a:xfrm rot="10800000" flipV="1">
          <a:off x="1378322" y="44825"/>
          <a:ext cx="11373971" cy="403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4C261C"/>
              </a:solidFill>
              <a:latin typeface="Arial" panose="020B0604020202020204" pitchFamily="34" charset="0"/>
              <a:cs typeface="Arial" panose="020B0604020202020204" pitchFamily="34" charset="0"/>
            </a:rPr>
            <a:t>Sneakers</a:t>
          </a:r>
          <a:r>
            <a:rPr lang="en-US" sz="2400" b="1" baseline="0">
              <a:solidFill>
                <a:srgbClr val="4C261C"/>
              </a:solidFill>
              <a:latin typeface="Arial" panose="020B0604020202020204" pitchFamily="34" charset="0"/>
              <a:cs typeface="Arial" panose="020B0604020202020204" pitchFamily="34" charset="0"/>
            </a:rPr>
            <a:t> </a:t>
          </a:r>
          <a:r>
            <a:rPr lang="en-US" sz="2400" b="1">
              <a:solidFill>
                <a:srgbClr val="4C261C"/>
              </a:solidFill>
              <a:latin typeface="Arial" panose="020B0604020202020204" pitchFamily="34" charset="0"/>
              <a:cs typeface="Arial" panose="020B0604020202020204" pitchFamily="34" charset="0"/>
            </a:rPr>
            <a:t>&amp;</a:t>
          </a:r>
          <a:r>
            <a:rPr lang="en-US" sz="2400" b="1" baseline="0">
              <a:solidFill>
                <a:srgbClr val="4C261C"/>
              </a:solidFill>
              <a:latin typeface="Arial" panose="020B0604020202020204" pitchFamily="34" charset="0"/>
              <a:cs typeface="Arial" panose="020B0604020202020204" pitchFamily="34" charset="0"/>
            </a:rPr>
            <a:t> Str</a:t>
          </a:r>
          <a:r>
            <a:rPr lang="en-US" sz="2400" b="1">
              <a:solidFill>
                <a:srgbClr val="4C261C"/>
              </a:solidFill>
              <a:latin typeface="Arial" panose="020B0604020202020204" pitchFamily="34" charset="0"/>
              <a:cs typeface="Arial" panose="020B0604020202020204" pitchFamily="34" charset="0"/>
            </a:rPr>
            <a:t>eetwear Sales Analysis</a:t>
          </a:r>
        </a:p>
      </xdr:txBody>
    </xdr:sp>
    <xdr:clientData/>
  </xdr:twoCellAnchor>
  <xdr:twoCellAnchor editAs="oneCell">
    <xdr:from>
      <xdr:col>17</xdr:col>
      <xdr:colOff>246531</xdr:colOff>
      <xdr:row>1</xdr:row>
      <xdr:rowOff>179293</xdr:rowOff>
    </xdr:from>
    <xdr:to>
      <xdr:col>18</xdr:col>
      <xdr:colOff>11205</xdr:colOff>
      <xdr:row>3</xdr:row>
      <xdr:rowOff>78442</xdr:rowOff>
    </xdr:to>
    <xdr:pic>
      <xdr:nvPicPr>
        <xdr:cNvPr id="18" name="Picture 17">
          <a:extLst>
            <a:ext uri="{FF2B5EF4-FFF2-40B4-BE49-F238E27FC236}">
              <a16:creationId xmlns:a16="http://schemas.microsoft.com/office/drawing/2014/main" id="{1D868DB7-0FE6-9E65-928B-9130FDB151A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928413" y="179293"/>
          <a:ext cx="369793" cy="280149"/>
        </a:xfrm>
        <a:prstGeom prst="rect">
          <a:avLst/>
        </a:prstGeom>
      </xdr:spPr>
    </xdr:pic>
    <xdr:clientData/>
  </xdr:twoCellAnchor>
  <xdr:twoCellAnchor editAs="oneCell">
    <xdr:from>
      <xdr:col>1</xdr:col>
      <xdr:colOff>66673</xdr:colOff>
      <xdr:row>18</xdr:row>
      <xdr:rowOff>39221</xdr:rowOff>
    </xdr:from>
    <xdr:to>
      <xdr:col>5</xdr:col>
      <xdr:colOff>437027</xdr:colOff>
      <xdr:row>24</xdr:row>
      <xdr:rowOff>49307</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D1368316-054B-4973-9EB7-4734C8D1370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6673" y="3277721"/>
              <a:ext cx="2790825" cy="11530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94126</xdr:colOff>
      <xdr:row>3</xdr:row>
      <xdr:rowOff>131111</xdr:rowOff>
    </xdr:from>
    <xdr:to>
      <xdr:col>5</xdr:col>
      <xdr:colOff>437027</xdr:colOff>
      <xdr:row>11</xdr:row>
      <xdr:rowOff>19051</xdr:rowOff>
    </xdr:to>
    <mc:AlternateContent xmlns:mc="http://schemas.openxmlformats.org/markup-compatibility/2006" xmlns:a14="http://schemas.microsoft.com/office/drawing/2010/main">
      <mc:Choice Requires="a14">
        <xdr:graphicFrame macro="">
          <xdr:nvGraphicFramePr>
            <xdr:cNvPr id="9" name="Brand">
              <a:extLst>
                <a:ext uri="{FF2B5EF4-FFF2-40B4-BE49-F238E27FC236}">
                  <a16:creationId xmlns:a16="http://schemas.microsoft.com/office/drawing/2014/main" id="{67CA1290-AFFB-44A0-925A-05F1886D4707}"/>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94126" y="512111"/>
              <a:ext cx="2763372" cy="1411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71717</xdr:colOff>
      <xdr:row>24</xdr:row>
      <xdr:rowOff>121024</xdr:rowOff>
    </xdr:from>
    <xdr:to>
      <xdr:col>5</xdr:col>
      <xdr:colOff>437027</xdr:colOff>
      <xdr:row>30</xdr:row>
      <xdr:rowOff>121024</xdr:rowOff>
    </xdr:to>
    <mc:AlternateContent xmlns:mc="http://schemas.openxmlformats.org/markup-compatibility/2006" xmlns:a14="http://schemas.microsoft.com/office/drawing/2010/main">
      <mc:Choice Requires="a14">
        <xdr:graphicFrame macro="">
          <xdr:nvGraphicFramePr>
            <xdr:cNvPr id="11" name="Gender 1">
              <a:extLst>
                <a:ext uri="{FF2B5EF4-FFF2-40B4-BE49-F238E27FC236}">
                  <a16:creationId xmlns:a16="http://schemas.microsoft.com/office/drawing/2014/main" id="{34A961FA-4127-4F55-9E92-590934A70E5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1717" y="4502524"/>
              <a:ext cx="2785781"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89645</xdr:colOff>
      <xdr:row>11</xdr:row>
      <xdr:rowOff>90768</xdr:rowOff>
    </xdr:from>
    <xdr:to>
      <xdr:col>5</xdr:col>
      <xdr:colOff>437027</xdr:colOff>
      <xdr:row>17</xdr:row>
      <xdr:rowOff>158004</xdr:rowOff>
    </xdr:to>
    <mc:AlternateContent xmlns:mc="http://schemas.openxmlformats.org/markup-compatibility/2006" xmlns:a14="http://schemas.microsoft.com/office/drawing/2010/main">
      <mc:Choice Requires="a14">
        <xdr:graphicFrame macro="">
          <xdr:nvGraphicFramePr>
            <xdr:cNvPr id="14" name="Country 1">
              <a:extLst>
                <a:ext uri="{FF2B5EF4-FFF2-40B4-BE49-F238E27FC236}">
                  <a16:creationId xmlns:a16="http://schemas.microsoft.com/office/drawing/2014/main" id="{3449BD4B-897C-4E90-90A5-ECB623BB452F}"/>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89645" y="1995768"/>
              <a:ext cx="2767853" cy="12102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77319</xdr:colOff>
      <xdr:row>31</xdr:row>
      <xdr:rowOff>2241</xdr:rowOff>
    </xdr:from>
    <xdr:to>
      <xdr:col>5</xdr:col>
      <xdr:colOff>437027</xdr:colOff>
      <xdr:row>37</xdr:row>
      <xdr:rowOff>69476</xdr:rowOff>
    </xdr:to>
    <mc:AlternateContent xmlns:mc="http://schemas.openxmlformats.org/markup-compatibility/2006" xmlns:a14="http://schemas.microsoft.com/office/drawing/2010/main">
      <mc:Choice Requires="a14">
        <xdr:graphicFrame macro="">
          <xdr:nvGraphicFramePr>
            <xdr:cNvPr id="15" name="Payment Mode 1">
              <a:extLst>
                <a:ext uri="{FF2B5EF4-FFF2-40B4-BE49-F238E27FC236}">
                  <a16:creationId xmlns:a16="http://schemas.microsoft.com/office/drawing/2014/main" id="{E4A66E78-460E-4EA6-A3E5-9F8A697552B1}"/>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77319" y="5717241"/>
              <a:ext cx="2780179" cy="12102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112058</xdr:colOff>
      <xdr:row>44</xdr:row>
      <xdr:rowOff>44823</xdr:rowOff>
    </xdr:from>
    <xdr:to>
      <xdr:col>5</xdr:col>
      <xdr:colOff>437027</xdr:colOff>
      <xdr:row>52</xdr:row>
      <xdr:rowOff>22412</xdr:rowOff>
    </xdr:to>
    <mc:AlternateContent xmlns:mc="http://schemas.openxmlformats.org/markup-compatibility/2006" xmlns:a14="http://schemas.microsoft.com/office/drawing/2010/main">
      <mc:Choice Requires="a14">
        <xdr:graphicFrame macro="">
          <xdr:nvGraphicFramePr>
            <xdr:cNvPr id="16" name="Category 1">
              <a:extLst>
                <a:ext uri="{FF2B5EF4-FFF2-40B4-BE49-F238E27FC236}">
                  <a16:creationId xmlns:a16="http://schemas.microsoft.com/office/drawing/2014/main" id="{35DF8845-A960-4CCD-8D13-2DE0F8812C4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2058" y="8236323"/>
              <a:ext cx="2745440" cy="15015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89646</xdr:colOff>
      <xdr:row>37</xdr:row>
      <xdr:rowOff>141193</xdr:rowOff>
    </xdr:from>
    <xdr:to>
      <xdr:col>5</xdr:col>
      <xdr:colOff>437027</xdr:colOff>
      <xdr:row>43</xdr:row>
      <xdr:rowOff>163606</xdr:rowOff>
    </xdr:to>
    <mc:AlternateContent xmlns:mc="http://schemas.openxmlformats.org/markup-compatibility/2006" xmlns:a14="http://schemas.microsoft.com/office/drawing/2010/main">
      <mc:Choice Requires="a14">
        <xdr:graphicFrame macro="">
          <xdr:nvGraphicFramePr>
            <xdr:cNvPr id="17" name="Product Type 1">
              <a:extLst>
                <a:ext uri="{FF2B5EF4-FFF2-40B4-BE49-F238E27FC236}">
                  <a16:creationId xmlns:a16="http://schemas.microsoft.com/office/drawing/2014/main" id="{FB909280-ADDC-4A6D-BB08-712B9A5488E8}"/>
                </a:ext>
              </a:extLst>
            </xdr:cNvPr>
            <xdr:cNvGraphicFramePr/>
          </xdr:nvGraphicFramePr>
          <xdr:xfrm>
            <a:off x="0" y="0"/>
            <a:ext cx="0" cy="0"/>
          </xdr:xfrm>
          <a:graphic>
            <a:graphicData uri="http://schemas.microsoft.com/office/drawing/2010/slicer">
              <sle:slicer xmlns:sle="http://schemas.microsoft.com/office/drawing/2010/slicer" name="Product Type 1"/>
            </a:graphicData>
          </a:graphic>
        </xdr:graphicFrame>
      </mc:Choice>
      <mc:Fallback xmlns="">
        <xdr:sp macro="" textlink="">
          <xdr:nvSpPr>
            <xdr:cNvPr id="0" name=""/>
            <xdr:cNvSpPr>
              <a:spLocks noTextEdit="1"/>
            </xdr:cNvSpPr>
          </xdr:nvSpPr>
          <xdr:spPr>
            <a:xfrm>
              <a:off x="89646" y="6999193"/>
              <a:ext cx="2767852" cy="11654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459441</xdr:colOff>
      <xdr:row>7</xdr:row>
      <xdr:rowOff>123266</xdr:rowOff>
    </xdr:from>
    <xdr:to>
      <xdr:col>23</xdr:col>
      <xdr:colOff>22412</xdr:colOff>
      <xdr:row>21</xdr:row>
      <xdr:rowOff>179294</xdr:rowOff>
    </xdr:to>
    <xdr:graphicFrame macro="">
      <xdr:nvGraphicFramePr>
        <xdr:cNvPr id="20" name="Chart 19">
          <a:extLst>
            <a:ext uri="{FF2B5EF4-FFF2-40B4-BE49-F238E27FC236}">
              <a16:creationId xmlns:a16="http://schemas.microsoft.com/office/drawing/2014/main" id="{3B51057D-0FF2-4802-9146-CB9B9ABA09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22411</xdr:colOff>
      <xdr:row>36</xdr:row>
      <xdr:rowOff>91832</xdr:rowOff>
    </xdr:from>
    <xdr:to>
      <xdr:col>14</xdr:col>
      <xdr:colOff>246529</xdr:colOff>
      <xdr:row>52</xdr:row>
      <xdr:rowOff>22412</xdr:rowOff>
    </xdr:to>
    <xdr:graphicFrame macro="">
      <xdr:nvGraphicFramePr>
        <xdr:cNvPr id="3" name="Chart 2">
          <a:extLst>
            <a:ext uri="{FF2B5EF4-FFF2-40B4-BE49-F238E27FC236}">
              <a16:creationId xmlns:a16="http://schemas.microsoft.com/office/drawing/2014/main" id="{7FF11C53-6EAF-4E5E-9EFA-597C4F7C43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459441</xdr:colOff>
      <xdr:row>22</xdr:row>
      <xdr:rowOff>100852</xdr:rowOff>
    </xdr:from>
    <xdr:to>
      <xdr:col>23</xdr:col>
      <xdr:colOff>44823</xdr:colOff>
      <xdr:row>35</xdr:row>
      <xdr:rowOff>145676</xdr:rowOff>
    </xdr:to>
    <xdr:graphicFrame macro="">
      <xdr:nvGraphicFramePr>
        <xdr:cNvPr id="8" name="Chart 7">
          <a:extLst>
            <a:ext uri="{FF2B5EF4-FFF2-40B4-BE49-F238E27FC236}">
              <a16:creationId xmlns:a16="http://schemas.microsoft.com/office/drawing/2014/main" id="{E1D9B506-D83A-494F-816C-B0C2BE670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22411</xdr:colOff>
      <xdr:row>7</xdr:row>
      <xdr:rowOff>123266</xdr:rowOff>
    </xdr:from>
    <xdr:to>
      <xdr:col>14</xdr:col>
      <xdr:colOff>224117</xdr:colOff>
      <xdr:row>22</xdr:row>
      <xdr:rowOff>11206</xdr:rowOff>
    </xdr:to>
    <xdr:graphicFrame macro="">
      <xdr:nvGraphicFramePr>
        <xdr:cNvPr id="23" name="Chart 22">
          <a:extLst>
            <a:ext uri="{FF2B5EF4-FFF2-40B4-BE49-F238E27FC236}">
              <a16:creationId xmlns:a16="http://schemas.microsoft.com/office/drawing/2014/main" id="{8AA4D65E-2D19-F10A-573B-C38C61CF9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1120</xdr:colOff>
      <xdr:row>3</xdr:row>
      <xdr:rowOff>70596</xdr:rowOff>
    </xdr:from>
    <xdr:to>
      <xdr:col>23</xdr:col>
      <xdr:colOff>22412</xdr:colOff>
      <xdr:row>7</xdr:row>
      <xdr:rowOff>80121</xdr:rowOff>
    </xdr:to>
    <xdr:sp macro="" textlink="'Pivot Table'!K42">
      <xdr:nvSpPr>
        <xdr:cNvPr id="24" name="Rectangle 23">
          <a:extLst>
            <a:ext uri="{FF2B5EF4-FFF2-40B4-BE49-F238E27FC236}">
              <a16:creationId xmlns:a16="http://schemas.microsoft.com/office/drawing/2014/main" id="{AAC7B0FE-7857-4636-B1D4-46914F1175E0}"/>
            </a:ext>
          </a:extLst>
        </xdr:cNvPr>
        <xdr:cNvSpPr/>
      </xdr:nvSpPr>
      <xdr:spPr>
        <a:xfrm>
          <a:off x="10893238" y="451596"/>
          <a:ext cx="2441762" cy="771525"/>
        </a:xfrm>
        <a:prstGeom prst="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r"/>
          <a:fld id="{88ED00A0-6633-4DD9-BF78-F8B7DE377D2D}" type="TxLink">
            <a:rPr lang="en-US" sz="1800" b="1" i="0" u="none" strike="noStrike">
              <a:solidFill>
                <a:srgbClr val="4C261C"/>
              </a:solidFill>
              <a:latin typeface="Arial" panose="020B0604020202020204" pitchFamily="34" charset="0"/>
              <a:ea typeface="Calibri"/>
              <a:cs typeface="Arial" panose="020B0604020202020204" pitchFamily="34" charset="0"/>
            </a:rPr>
            <a:pPr marL="0" indent="0" algn="r"/>
            <a:t>$176</a:t>
          </a:fld>
          <a:endParaRPr lang="en-US" sz="1800" b="1" i="0" u="none" strike="noStrike">
            <a:solidFill>
              <a:srgbClr val="4C261C"/>
            </a:solidFill>
            <a:latin typeface="Arial" panose="020B0604020202020204" pitchFamily="34" charset="0"/>
            <a:ea typeface="Calibri"/>
            <a:cs typeface="Arial" panose="020B0604020202020204" pitchFamily="34" charset="0"/>
          </a:endParaRPr>
        </a:p>
      </xdr:txBody>
    </xdr:sp>
    <xdr:clientData/>
  </xdr:twoCellAnchor>
  <xdr:twoCellAnchor>
    <xdr:from>
      <xdr:col>14</xdr:col>
      <xdr:colOff>407770</xdr:colOff>
      <xdr:row>3</xdr:row>
      <xdr:rowOff>70596</xdr:rowOff>
    </xdr:from>
    <xdr:to>
      <xdr:col>18</xdr:col>
      <xdr:colOff>429061</xdr:colOff>
      <xdr:row>7</xdr:row>
      <xdr:rowOff>80121</xdr:rowOff>
    </xdr:to>
    <xdr:sp macro="" textlink="'Pivot Table'!K38">
      <xdr:nvSpPr>
        <xdr:cNvPr id="26" name="Rectangle 25">
          <a:extLst>
            <a:ext uri="{FF2B5EF4-FFF2-40B4-BE49-F238E27FC236}">
              <a16:creationId xmlns:a16="http://schemas.microsoft.com/office/drawing/2014/main" id="{15847839-5726-4E3E-8084-79B03AF657A2}"/>
            </a:ext>
          </a:extLst>
        </xdr:cNvPr>
        <xdr:cNvSpPr/>
      </xdr:nvSpPr>
      <xdr:spPr>
        <a:xfrm>
          <a:off x="8274299" y="451596"/>
          <a:ext cx="2441762" cy="771525"/>
        </a:xfrm>
        <a:prstGeom prst="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r"/>
          <a:fld id="{005927DF-9080-4A20-A074-1DAC9CDE22DB}" type="TxLink">
            <a:rPr lang="en-US" sz="1800" b="1" i="0" u="none" strike="noStrike">
              <a:solidFill>
                <a:srgbClr val="4C261C"/>
              </a:solidFill>
              <a:latin typeface="Arial" panose="020B0604020202020204" pitchFamily="34" charset="0"/>
              <a:ea typeface="Calibri"/>
              <a:cs typeface="Arial" panose="020B0604020202020204" pitchFamily="34" charset="0"/>
            </a:rPr>
            <a:pPr marL="0" indent="0" algn="r"/>
            <a:t> 353 </a:t>
          </a:fld>
          <a:endParaRPr lang="en-US" sz="1800" b="1" i="0" u="none" strike="noStrike">
            <a:solidFill>
              <a:srgbClr val="4C261C"/>
            </a:solidFill>
            <a:latin typeface="Arial" panose="020B0604020202020204" pitchFamily="34" charset="0"/>
            <a:ea typeface="Calibri"/>
            <a:cs typeface="Arial" panose="020B0604020202020204" pitchFamily="34" charset="0"/>
          </a:endParaRPr>
        </a:p>
      </xdr:txBody>
    </xdr:sp>
    <xdr:clientData/>
  </xdr:twoCellAnchor>
  <xdr:twoCellAnchor>
    <xdr:from>
      <xdr:col>6</xdr:col>
      <xdr:colOff>10833</xdr:colOff>
      <xdr:row>3</xdr:row>
      <xdr:rowOff>70596</xdr:rowOff>
    </xdr:from>
    <xdr:to>
      <xdr:col>10</xdr:col>
      <xdr:colOff>32124</xdr:colOff>
      <xdr:row>7</xdr:row>
      <xdr:rowOff>80121</xdr:rowOff>
    </xdr:to>
    <xdr:sp macro="" textlink="'Pivot Table'!C4">
      <xdr:nvSpPr>
        <xdr:cNvPr id="27" name="Rectangle 26">
          <a:extLst>
            <a:ext uri="{FF2B5EF4-FFF2-40B4-BE49-F238E27FC236}">
              <a16:creationId xmlns:a16="http://schemas.microsoft.com/office/drawing/2014/main" id="{99F7DA43-4139-4BC7-9A2F-49903A635985}"/>
            </a:ext>
          </a:extLst>
        </xdr:cNvPr>
        <xdr:cNvSpPr/>
      </xdr:nvSpPr>
      <xdr:spPr>
        <a:xfrm>
          <a:off x="3036421" y="451596"/>
          <a:ext cx="2441762" cy="771525"/>
        </a:xfrm>
        <a:prstGeom prst="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r"/>
          <a:fld id="{15AB7F87-42C1-4EDD-B706-FC1C82EA560E}" type="TxLink">
            <a:rPr lang="en-US" sz="1800" b="1" i="0" u="none" strike="noStrike">
              <a:solidFill>
                <a:srgbClr val="4C261C"/>
              </a:solidFill>
              <a:latin typeface="Arial" panose="020B0604020202020204" pitchFamily="34" charset="0"/>
              <a:ea typeface="Calibri"/>
              <a:cs typeface="Arial" panose="020B0604020202020204" pitchFamily="34" charset="0"/>
            </a:rPr>
            <a:pPr marL="0" indent="0" algn="r"/>
            <a:t> $193,103 </a:t>
          </a:fld>
          <a:endParaRPr lang="en-US" sz="1800" b="1" i="0" u="none" strike="noStrike">
            <a:solidFill>
              <a:srgbClr val="4C261C"/>
            </a:solidFill>
            <a:latin typeface="Arial" panose="020B0604020202020204" pitchFamily="34" charset="0"/>
            <a:ea typeface="Calibri"/>
            <a:cs typeface="Arial" panose="020B0604020202020204" pitchFamily="34" charset="0"/>
          </a:endParaRPr>
        </a:p>
      </xdr:txBody>
    </xdr:sp>
    <xdr:clientData/>
  </xdr:twoCellAnchor>
  <xdr:twoCellAnchor>
    <xdr:from>
      <xdr:col>10</xdr:col>
      <xdr:colOff>209301</xdr:colOff>
      <xdr:row>3</xdr:row>
      <xdr:rowOff>70596</xdr:rowOff>
    </xdr:from>
    <xdr:to>
      <xdr:col>14</xdr:col>
      <xdr:colOff>230593</xdr:colOff>
      <xdr:row>7</xdr:row>
      <xdr:rowOff>80121</xdr:rowOff>
    </xdr:to>
    <xdr:sp macro="" textlink="'Pivot Table'!A4">
      <xdr:nvSpPr>
        <xdr:cNvPr id="28" name="Rectangle 27">
          <a:extLst>
            <a:ext uri="{FF2B5EF4-FFF2-40B4-BE49-F238E27FC236}">
              <a16:creationId xmlns:a16="http://schemas.microsoft.com/office/drawing/2014/main" id="{B1B8D38F-E50C-4BE6-A856-D14946B2AFCB}"/>
            </a:ext>
          </a:extLst>
        </xdr:cNvPr>
        <xdr:cNvSpPr/>
      </xdr:nvSpPr>
      <xdr:spPr>
        <a:xfrm>
          <a:off x="5655360" y="451596"/>
          <a:ext cx="2441762" cy="771525"/>
        </a:xfrm>
        <a:prstGeom prst="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r"/>
          <a:fld id="{DA4003A2-E41C-40EC-AF01-0B8F3D91B621}" type="TxLink">
            <a:rPr lang="en-US" sz="1800" b="1" i="0" u="none" strike="noStrike">
              <a:solidFill>
                <a:srgbClr val="4C261C"/>
              </a:solidFill>
              <a:latin typeface="Arial" panose="020B0604020202020204" pitchFamily="34" charset="0"/>
              <a:ea typeface="Calibri"/>
              <a:cs typeface="Arial" panose="020B0604020202020204" pitchFamily="34" charset="0"/>
            </a:rPr>
            <a:pPr marL="0" indent="0" algn="r"/>
            <a:t> 1,097 </a:t>
          </a:fld>
          <a:endParaRPr lang="en-US" sz="1800" b="1" i="0" u="none" strike="noStrike">
            <a:solidFill>
              <a:srgbClr val="4C261C"/>
            </a:solidFill>
            <a:latin typeface="Arial" panose="020B0604020202020204" pitchFamily="34" charset="0"/>
            <a:ea typeface="Calibri"/>
            <a:cs typeface="Arial" panose="020B0604020202020204" pitchFamily="34" charset="0"/>
          </a:endParaRPr>
        </a:p>
      </xdr:txBody>
    </xdr:sp>
    <xdr:clientData/>
  </xdr:twoCellAnchor>
  <xdr:twoCellAnchor>
    <xdr:from>
      <xdr:col>6</xdr:col>
      <xdr:colOff>33617</xdr:colOff>
      <xdr:row>3</xdr:row>
      <xdr:rowOff>112059</xdr:rowOff>
    </xdr:from>
    <xdr:to>
      <xdr:col>9</xdr:col>
      <xdr:colOff>123264</xdr:colOff>
      <xdr:row>5</xdr:row>
      <xdr:rowOff>44824</xdr:rowOff>
    </xdr:to>
    <xdr:sp macro="" textlink="">
      <xdr:nvSpPr>
        <xdr:cNvPr id="30" name="TextBox 29">
          <a:extLst>
            <a:ext uri="{FF2B5EF4-FFF2-40B4-BE49-F238E27FC236}">
              <a16:creationId xmlns:a16="http://schemas.microsoft.com/office/drawing/2014/main" id="{67DEB7D8-520A-A26A-3450-882264B1E1CC}"/>
            </a:ext>
          </a:extLst>
        </xdr:cNvPr>
        <xdr:cNvSpPr txBox="1"/>
      </xdr:nvSpPr>
      <xdr:spPr>
        <a:xfrm>
          <a:off x="3059205" y="493059"/>
          <a:ext cx="1905000" cy="3137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a:solidFill>
                <a:srgbClr val="351805"/>
              </a:solidFill>
              <a:latin typeface="Arial" panose="020B0604020202020204" pitchFamily="34" charset="0"/>
              <a:cs typeface="Arial" panose="020B0604020202020204" pitchFamily="34" charset="0"/>
            </a:rPr>
            <a:t>Total Revenue</a:t>
          </a:r>
        </a:p>
      </xdr:txBody>
    </xdr:sp>
    <xdr:clientData/>
  </xdr:twoCellAnchor>
  <xdr:twoCellAnchor>
    <xdr:from>
      <xdr:col>10</xdr:col>
      <xdr:colOff>235324</xdr:colOff>
      <xdr:row>3</xdr:row>
      <xdr:rowOff>78443</xdr:rowOff>
    </xdr:from>
    <xdr:to>
      <xdr:col>14</xdr:col>
      <xdr:colOff>33618</xdr:colOff>
      <xdr:row>5</xdr:row>
      <xdr:rowOff>78443</xdr:rowOff>
    </xdr:to>
    <xdr:sp macro="" textlink="">
      <xdr:nvSpPr>
        <xdr:cNvPr id="31" name="TextBox 30">
          <a:extLst>
            <a:ext uri="{FF2B5EF4-FFF2-40B4-BE49-F238E27FC236}">
              <a16:creationId xmlns:a16="http://schemas.microsoft.com/office/drawing/2014/main" id="{F85EC4BD-8249-91F3-55D6-713F53B05A56}"/>
            </a:ext>
          </a:extLst>
        </xdr:cNvPr>
        <xdr:cNvSpPr txBox="1"/>
      </xdr:nvSpPr>
      <xdr:spPr>
        <a:xfrm>
          <a:off x="5681383" y="459443"/>
          <a:ext cx="2218764"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a:solidFill>
                <a:srgbClr val="351805"/>
              </a:solidFill>
              <a:latin typeface="Arial" panose="020B0604020202020204" pitchFamily="34" charset="0"/>
              <a:cs typeface="Arial" panose="020B0604020202020204" pitchFamily="34" charset="0"/>
            </a:rPr>
            <a:t>Total Quantity Sold</a:t>
          </a:r>
        </a:p>
      </xdr:txBody>
    </xdr:sp>
    <xdr:clientData/>
  </xdr:twoCellAnchor>
  <xdr:twoCellAnchor>
    <xdr:from>
      <xdr:col>14</xdr:col>
      <xdr:colOff>448236</xdr:colOff>
      <xdr:row>3</xdr:row>
      <xdr:rowOff>112060</xdr:rowOff>
    </xdr:from>
    <xdr:to>
      <xdr:col>18</xdr:col>
      <xdr:colOff>212911</xdr:colOff>
      <xdr:row>5</xdr:row>
      <xdr:rowOff>89648</xdr:rowOff>
    </xdr:to>
    <xdr:sp macro="" textlink="$B$5">
      <xdr:nvSpPr>
        <xdr:cNvPr id="32" name="Rectangle 31">
          <a:extLst>
            <a:ext uri="{FF2B5EF4-FFF2-40B4-BE49-F238E27FC236}">
              <a16:creationId xmlns:a16="http://schemas.microsoft.com/office/drawing/2014/main" id="{31BAA093-7462-4BA9-99C5-3C436690A214}"/>
            </a:ext>
          </a:extLst>
        </xdr:cNvPr>
        <xdr:cNvSpPr/>
      </xdr:nvSpPr>
      <xdr:spPr>
        <a:xfrm>
          <a:off x="8314765" y="493060"/>
          <a:ext cx="2185146" cy="35858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A0DC443-A44A-4ECB-91FE-2818299DC869}" type="TxLink">
            <a:rPr lang="en-US" sz="1600" b="1" i="0" u="none" strike="noStrike">
              <a:solidFill>
                <a:srgbClr val="351805"/>
              </a:solidFill>
              <a:latin typeface="Arial" panose="020B0604020202020204" pitchFamily="34" charset="0"/>
              <a:ea typeface="Calibri"/>
              <a:cs typeface="Arial" panose="020B0604020202020204" pitchFamily="34" charset="0"/>
            </a:rPr>
            <a:pPr algn="l"/>
            <a:t> </a:t>
          </a:fld>
          <a:r>
            <a:rPr lang="en-US" sz="1600" b="1" i="0" u="none" strike="noStrike">
              <a:solidFill>
                <a:srgbClr val="351805"/>
              </a:solidFill>
              <a:latin typeface="Arial" panose="020B0604020202020204" pitchFamily="34" charset="0"/>
              <a:ea typeface="Calibri"/>
              <a:cs typeface="Arial" panose="020B0604020202020204" pitchFamily="34" charset="0"/>
            </a:rPr>
            <a:t>No</a:t>
          </a:r>
          <a:r>
            <a:rPr lang="en-US" sz="1600" b="1" i="0" u="none" strike="noStrike" baseline="0">
              <a:solidFill>
                <a:srgbClr val="351805"/>
              </a:solidFill>
              <a:latin typeface="Arial" panose="020B0604020202020204" pitchFamily="34" charset="0"/>
              <a:ea typeface="Calibri"/>
              <a:cs typeface="Arial" panose="020B0604020202020204" pitchFamily="34" charset="0"/>
            </a:rPr>
            <a:t> of Transactions</a:t>
          </a:r>
          <a:endParaRPr lang="en-US" sz="1600" b="1">
            <a:solidFill>
              <a:srgbClr val="351805"/>
            </a:solidFill>
            <a:latin typeface="Arial" panose="020B0604020202020204" pitchFamily="34" charset="0"/>
            <a:cs typeface="Arial" panose="020B0604020202020204" pitchFamily="34" charset="0"/>
          </a:endParaRPr>
        </a:p>
      </xdr:txBody>
    </xdr:sp>
    <xdr:clientData/>
  </xdr:twoCellAnchor>
  <xdr:twoCellAnchor>
    <xdr:from>
      <xdr:col>19</xdr:col>
      <xdr:colOff>40341</xdr:colOff>
      <xdr:row>3</xdr:row>
      <xdr:rowOff>112058</xdr:rowOff>
    </xdr:from>
    <xdr:to>
      <xdr:col>21</xdr:col>
      <xdr:colOff>470647</xdr:colOff>
      <xdr:row>5</xdr:row>
      <xdr:rowOff>56029</xdr:rowOff>
    </xdr:to>
    <xdr:sp macro="" textlink="$B$5">
      <xdr:nvSpPr>
        <xdr:cNvPr id="33" name="Rectangle 32">
          <a:extLst>
            <a:ext uri="{FF2B5EF4-FFF2-40B4-BE49-F238E27FC236}">
              <a16:creationId xmlns:a16="http://schemas.microsoft.com/office/drawing/2014/main" id="{8299AE68-0CD1-40F9-9494-ABD605356D78}"/>
            </a:ext>
          </a:extLst>
        </xdr:cNvPr>
        <xdr:cNvSpPr/>
      </xdr:nvSpPr>
      <xdr:spPr>
        <a:xfrm>
          <a:off x="10932459" y="493058"/>
          <a:ext cx="1640541" cy="32497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A0DC443-A44A-4ECB-91FE-2818299DC869}" type="TxLink">
            <a:rPr lang="en-US" sz="1600" b="1" i="0" u="none" strike="noStrike">
              <a:solidFill>
                <a:srgbClr val="351805"/>
              </a:solidFill>
              <a:latin typeface="Arial" panose="020B0604020202020204" pitchFamily="34" charset="0"/>
              <a:ea typeface="Calibri"/>
              <a:cs typeface="Arial" panose="020B0604020202020204" pitchFamily="34" charset="0"/>
            </a:rPr>
            <a:pPr algn="l"/>
            <a:t> </a:t>
          </a:fld>
          <a:r>
            <a:rPr lang="en-US" sz="1600" b="1" i="0" u="none" strike="noStrike">
              <a:solidFill>
                <a:srgbClr val="351805"/>
              </a:solidFill>
              <a:latin typeface="Arial" panose="020B0604020202020204" pitchFamily="34" charset="0"/>
              <a:ea typeface="Calibri"/>
              <a:cs typeface="Arial" panose="020B0604020202020204" pitchFamily="34" charset="0"/>
            </a:rPr>
            <a:t>Avg Unit Price</a:t>
          </a:r>
          <a:endParaRPr lang="en-US" sz="1600" b="1">
            <a:solidFill>
              <a:srgbClr val="351805"/>
            </a:solidFill>
            <a:latin typeface="Arial" panose="020B0604020202020204" pitchFamily="34" charset="0"/>
            <a:cs typeface="Arial" panose="020B0604020202020204" pitchFamily="34" charset="0"/>
          </a:endParaRPr>
        </a:p>
      </xdr:txBody>
    </xdr:sp>
    <xdr:clientData/>
  </xdr:twoCellAnchor>
  <xdr:twoCellAnchor>
    <xdr:from>
      <xdr:col>6</xdr:col>
      <xdr:colOff>22411</xdr:colOff>
      <xdr:row>22</xdr:row>
      <xdr:rowOff>85137</xdr:rowOff>
    </xdr:from>
    <xdr:to>
      <xdr:col>14</xdr:col>
      <xdr:colOff>235323</xdr:colOff>
      <xdr:row>36</xdr:row>
      <xdr:rowOff>17902</xdr:rowOff>
    </xdr:to>
    <xdr:graphicFrame macro="">
      <xdr:nvGraphicFramePr>
        <xdr:cNvPr id="34" name="Chart 33">
          <a:extLst>
            <a:ext uri="{FF2B5EF4-FFF2-40B4-BE49-F238E27FC236}">
              <a16:creationId xmlns:a16="http://schemas.microsoft.com/office/drawing/2014/main" id="{FF4EFD7E-A0E3-4E01-ADB8-0CB25888DC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459441</xdr:colOff>
      <xdr:row>36</xdr:row>
      <xdr:rowOff>67235</xdr:rowOff>
    </xdr:from>
    <xdr:to>
      <xdr:col>23</xdr:col>
      <xdr:colOff>44824</xdr:colOff>
      <xdr:row>52</xdr:row>
      <xdr:rowOff>33618</xdr:rowOff>
    </xdr:to>
    <xdr:graphicFrame macro="">
      <xdr:nvGraphicFramePr>
        <xdr:cNvPr id="36" name="Chart 35">
          <a:extLst>
            <a:ext uri="{FF2B5EF4-FFF2-40B4-BE49-F238E27FC236}">
              <a16:creationId xmlns:a16="http://schemas.microsoft.com/office/drawing/2014/main" id="{D51A4B7D-6560-41BB-B9A8-7D5F4E804B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iola" refreshedDate="45889.843767129627" createdVersion="8" refreshedVersion="8" minRefreshableVersion="3" recordCount="353" xr:uid="{AFF9BAB0-0585-492C-96A4-531EFF425184}">
  <cacheSource type="worksheet">
    <worksheetSource name="Table1"/>
  </cacheSource>
  <cacheFields count="14">
    <cacheField name="Date" numFmtId="14">
      <sharedItems containsSemiMixedTypes="0" containsNonDate="0" containsDate="1" containsString="0" minDate="2022-01-01T00:00:00" maxDate="2022-09-01T00:00:00"/>
    </cacheField>
    <cacheField name="Day" numFmtId="14">
      <sharedItems/>
    </cacheField>
    <cacheField name="Month" numFmtId="14">
      <sharedItems count="8">
        <s v="May"/>
        <s v="August"/>
        <s v="April"/>
        <s v="July"/>
        <s v="February"/>
        <s v="June"/>
        <s v="January"/>
        <s v="March"/>
      </sharedItems>
    </cacheField>
    <cacheField name="Product Name" numFmtId="0">
      <sharedItems count="10">
        <s v="Fear of God Essentials Tee"/>
        <s v="Yeezy Boost 350"/>
        <s v="Nike Dunk Low"/>
        <s v="Nike Tech Fleece"/>
        <s v="Jordan 1 High"/>
        <s v="Off-White Hoodie"/>
        <s v="Supreme Hoodie"/>
        <s v="Adidas Ultraboost"/>
        <s v="New Era Cap"/>
        <s v="Puma Joggers"/>
      </sharedItems>
    </cacheField>
    <cacheField name="Product Type" numFmtId="0">
      <sharedItems count="5">
        <s v="T-shirt"/>
        <s v="Sneakers"/>
        <s v="Hoodie"/>
        <s v="Cap"/>
        <s v="Joggers"/>
      </sharedItems>
    </cacheField>
    <cacheField name="Brand" numFmtId="0">
      <sharedItems count="7">
        <s v="Essentials"/>
        <s v="Adidas"/>
        <s v="Nike"/>
        <s v="Off-White"/>
        <s v="Supreme"/>
        <s v="New Era"/>
        <s v="Puma"/>
      </sharedItems>
    </cacheField>
    <cacheField name="Gender" numFmtId="0">
      <sharedItems count="3">
        <s v="Unisex"/>
        <s v="Women"/>
        <s v="Men"/>
      </sharedItems>
    </cacheField>
    <cacheField name="Category" numFmtId="0">
      <sharedItems count="4">
        <s v="Limited Edition"/>
        <s v="Streetwear"/>
        <s v="Casual"/>
        <s v="Sportswear"/>
      </sharedItems>
    </cacheField>
    <cacheField name="Country" numFmtId="0">
      <sharedItems count="7">
        <s v="Japan"/>
        <s v="USA"/>
        <s v="Germany"/>
        <s v="Australia"/>
        <s v="UK"/>
        <s v="Canada"/>
        <s v="India"/>
      </sharedItems>
    </cacheField>
    <cacheField name="Quantity" numFmtId="0">
      <sharedItems containsSemiMixedTypes="0" containsString="0" containsNumber="1" containsInteger="1" minValue="1" maxValue="5"/>
    </cacheField>
    <cacheField name="Unit Price ($)" numFmtId="0">
      <sharedItems containsSemiMixedTypes="0" containsString="0" containsNumber="1" minValue="50.1" maxValue="299.73"/>
    </cacheField>
    <cacheField name="Amount ($)" numFmtId="164">
      <sharedItems containsSemiMixedTypes="0" containsString="0" containsNumber="1" minValue="50.1" maxValue="1496.5" count="353">
        <n v="709.1"/>
        <n v="534.67999999999995"/>
        <n v="292"/>
        <n v="981.76"/>
        <n v="369.02"/>
        <n v="257.72000000000003"/>
        <n v="207.85"/>
        <n v="326.64"/>
        <n v="598.41"/>
        <n v="1192.8800000000001"/>
        <n v="117.18"/>
        <n v="480.46"/>
        <n v="887.25"/>
        <n v="54.44"/>
        <n v="104.16"/>
        <n v="323.3"/>
        <n v="342.87"/>
        <n v="167.77"/>
        <n v="502.08"/>
        <n v="1182.1199999999999"/>
        <n v="429.24"/>
        <n v="597.70000000000005"/>
        <n v="885.75"/>
        <n v="254.92"/>
        <n v="344.52"/>
        <n v="690.72"/>
        <n v="1017.5"/>
        <n v="602.76"/>
        <n v="251.98"/>
        <n v="487.6"/>
        <n v="1035.28"/>
        <n v="406.1"/>
        <n v="260.10000000000002"/>
        <n v="742.16"/>
        <n v="1174.2"/>
        <n v="268.77999999999997"/>
        <n v="247.68"/>
        <n v="764.44"/>
        <n v="70.69"/>
        <n v="89.14"/>
        <n v="540.28"/>
        <n v="446"/>
        <n v="954.08"/>
        <n v="602.75"/>
        <n v="850.64"/>
        <n v="1281.0999999999999"/>
        <n v="497.6"/>
        <n v="160.66"/>
        <n v="293.25"/>
        <n v="917.75"/>
        <n v="421.54"/>
        <n v="875.28"/>
        <n v="668.7"/>
        <n v="208.47"/>
        <n v="180.42"/>
        <n v="382.08"/>
        <n v="448.53"/>
        <n v="409.08"/>
        <n v="811.9"/>
        <n v="519.32000000000005"/>
        <n v="180.39"/>
        <n v="241.05"/>
        <n v="444.16"/>
        <n v="287.44"/>
        <n v="689.5"/>
        <n v="644.04"/>
        <n v="539.76"/>
        <n v="96.97"/>
        <n v="1082.2"/>
        <n v="783.93"/>
        <n v="225.6"/>
        <n v="718.65"/>
        <n v="189.24"/>
        <n v="228.88"/>
        <n v="170.86"/>
        <n v="317.37"/>
        <n v="564.75"/>
        <n v="279"/>
        <n v="50.1"/>
        <n v="56.49"/>
        <n v="503.25"/>
        <n v="320.88"/>
        <n v="969.76"/>
        <n v="419.62"/>
        <n v="1047.8399999999999"/>
        <n v="728.13"/>
        <n v="1496.5"/>
        <n v="651.4"/>
        <n v="1078.1500000000001"/>
        <n v="54.99"/>
        <n v="742.8"/>
        <n v="307.5"/>
        <n v="1177.5"/>
        <n v="719.28"/>
        <n v="855.28"/>
        <n v="67.2"/>
        <n v="828.2"/>
        <n v="773.76"/>
        <n v="122.32"/>
        <n v="203.63"/>
        <n v="834.45"/>
        <n v="389.34"/>
        <n v="997.1"/>
        <n v="491.15"/>
        <n v="114.47"/>
        <n v="1123.55"/>
        <n v="312.12"/>
        <n v="701.3"/>
        <n v="1076.9000000000001"/>
        <n v="510.2"/>
        <n v="546.6"/>
        <n v="986.64"/>
        <n v="1313.4"/>
        <n v="304.17"/>
        <n v="59.05"/>
        <n v="101.32"/>
        <n v="915.52"/>
        <n v="1034.4000000000001"/>
        <n v="519.79999999999995"/>
        <n v="950.15"/>
        <n v="239.21"/>
        <n v="271.18"/>
        <n v="703.25"/>
        <n v="291.63"/>
        <n v="550.25"/>
        <n v="209.13"/>
        <n v="256.81"/>
        <n v="106.1"/>
        <n v="508.44"/>
        <n v="518.91999999999996"/>
        <n v="366.58"/>
        <n v="260.8"/>
        <n v="560.20000000000005"/>
        <n v="425.5"/>
        <n v="180.65"/>
        <n v="735.65"/>
        <n v="332.34"/>
        <n v="291.85000000000002"/>
        <n v="1208.3499999999999"/>
        <n v="179.34"/>
        <n v="132.09"/>
        <n v="404.36"/>
        <n v="270.57"/>
        <n v="358.56"/>
        <n v="943.05"/>
        <n v="222.72"/>
        <n v="161.94"/>
        <n v="962.56"/>
        <n v="977.85"/>
        <n v="673.98"/>
        <n v="195.6"/>
        <n v="471.12"/>
        <n v="859.72"/>
        <n v="498.98"/>
        <n v="565.4"/>
        <n v="792.42"/>
        <n v="367.9"/>
        <n v="106.59"/>
        <n v="179.94"/>
        <n v="263.43"/>
        <n v="567.20000000000005"/>
        <n v="388.62"/>
        <n v="798.72"/>
        <n v="727.35"/>
        <n v="141.11000000000001"/>
        <n v="376.8"/>
        <n v="581.12"/>
        <n v="554.96"/>
        <n v="614.24"/>
        <n v="149.66"/>
        <n v="136.80000000000001"/>
        <n v="629.07000000000005"/>
        <n v="602.61"/>
        <n v="221.26"/>
        <n v="884.9"/>
        <n v="385.4"/>
        <n v="958.16"/>
        <n v="897.7"/>
        <n v="822.69"/>
        <n v="499.45"/>
        <n v="592.44000000000005"/>
        <n v="409.85"/>
        <n v="873.87"/>
        <n v="694.75"/>
        <n v="832.76"/>
        <n v="1458.5"/>
        <n v="629.66999999999996"/>
        <n v="685.96"/>
        <n v="468.66"/>
        <n v="635.28"/>
        <n v="656.73"/>
        <n v="274.39999999999998"/>
        <n v="75.27"/>
        <n v="144.04"/>
        <n v="785.8"/>
        <n v="640.98"/>
        <n v="164.57"/>
        <n v="813"/>
        <n v="455.55"/>
        <n v="173.76"/>
        <n v="627.9"/>
        <n v="112.26"/>
        <n v="433.66"/>
        <n v="342.6"/>
        <n v="98.04"/>
        <n v="1021.75"/>
        <n v="1134.8"/>
        <n v="690.08"/>
        <n v="155.43"/>
        <n v="356.4"/>
        <n v="496.88"/>
        <n v="214.08"/>
        <n v="132.07"/>
        <n v="355.11"/>
        <n v="1218.7"/>
        <n v="750.1"/>
        <n v="219.93"/>
        <n v="352.48"/>
        <n v="677.5"/>
        <n v="1000.48"/>
        <n v="583.55999999999995"/>
        <n v="1126.1600000000001"/>
        <n v="485.68"/>
        <n v="1063.6400000000001"/>
        <n v="240.42"/>
        <n v="1376.35"/>
        <n v="464.37"/>
        <n v="695"/>
        <n v="237.81"/>
        <n v="474.2"/>
        <n v="913.84"/>
        <n v="209.68"/>
        <n v="811.56"/>
        <n v="477.44"/>
        <n v="375.78"/>
        <n v="889.65"/>
        <n v="56.73"/>
        <n v="91.56"/>
        <n v="305.08"/>
        <n v="245.48"/>
        <n v="487.08"/>
        <n v="515"/>
        <n v="809.12"/>
        <n v="224.83"/>
        <n v="768.81"/>
        <n v="554.52"/>
        <n v="813.57"/>
        <n v="616.86"/>
        <n v="523.88"/>
        <n v="1338.55"/>
        <n v="605.48"/>
        <n v="449.2"/>
        <n v="276.64"/>
        <n v="610.23"/>
        <n v="391.7"/>
        <n v="577.74"/>
        <n v="65.45"/>
        <n v="202.42"/>
        <n v="102.22"/>
        <n v="292.68"/>
        <n v="351.02"/>
        <n v="845.48"/>
        <n v="209.78"/>
        <n v="59.85"/>
        <n v="468.81"/>
        <n v="350"/>
        <n v="176"/>
        <n v="1173.32"/>
        <n v="1426.85"/>
        <n v="1102.95"/>
        <n v="1070"/>
        <n v="1041.2"/>
        <n v="534.79999999999995"/>
        <n v="317.39999999999998"/>
        <n v="488.26"/>
        <n v="739.95"/>
        <n v="157.81"/>
        <n v="425.52"/>
        <n v="677.7"/>
        <n v="338.94"/>
        <n v="201.68"/>
        <n v="1171"/>
        <n v="247.86"/>
        <n v="738.39"/>
        <n v="672.04"/>
        <n v="93.08"/>
        <n v="484.65"/>
        <n v="686.52"/>
        <n v="885.24"/>
        <n v="575.36"/>
        <n v="843.5"/>
        <n v="461.46"/>
        <n v="1124"/>
        <n v="562"/>
        <n v="233.16"/>
        <n v="1243.55"/>
        <n v="786"/>
        <n v="455"/>
        <n v="109.66"/>
        <n v="81.569999999999993"/>
        <n v="494.4"/>
        <n v="1001.04"/>
        <n v="137.19999999999999"/>
        <n v="492.18"/>
        <n v="793.8"/>
        <n v="324.95999999999998"/>
        <n v="973.92"/>
        <n v="733.6"/>
        <n v="271.44"/>
        <n v="270.95999999999998"/>
        <n v="742.3"/>
        <n v="1255.3"/>
        <n v="390.82"/>
        <n v="825.16"/>
        <n v="584.36"/>
        <n v="284.3"/>
        <n v="1447.35"/>
        <n v="436.5"/>
        <n v="818.48"/>
        <n v="534.84"/>
        <n v="144.59"/>
        <n v="160.94"/>
        <n v="196.34"/>
        <n v="127.52"/>
        <n v="314.24"/>
        <n v="1466.05"/>
        <n v="284.5"/>
        <n v="86.17"/>
        <n v="517.11"/>
        <n v="708.15"/>
        <n v="770.16"/>
        <n v="822.56"/>
        <n v="272.72000000000003"/>
        <n v="275.88"/>
        <n v="616.15"/>
        <n v="1365"/>
        <n v="677.52"/>
        <n v="706.08"/>
        <n v="949.7"/>
        <n v="330.6"/>
        <n v="109.52"/>
        <n v="296.56"/>
        <n v="296.51"/>
        <n v="89.5"/>
        <n v="841.92"/>
        <n v="1171.4000000000001"/>
        <n v="589.78"/>
        <n v="208.24"/>
        <n v="471.25"/>
        <n v="1295"/>
        <n v="1198.92"/>
        <n v="356.3"/>
        <n v="1350.7"/>
      </sharedItems>
    </cacheField>
    <cacheField name="Payment Mode" numFmtId="0">
      <sharedItems count="4">
        <s v="Card"/>
        <s v="Cash on Delivery"/>
        <s v="UPI"/>
        <s v="Wallet"/>
      </sharedItems>
    </cacheField>
    <cacheField name="Avg Unit Price" numFmtId="0" formula="'Amount ($)'/Quantity" databaseField="0"/>
  </cacheFields>
  <extLst>
    <ext xmlns:x14="http://schemas.microsoft.com/office/spreadsheetml/2009/9/main" uri="{725AE2AE-9491-48be-B2B4-4EB974FC3084}">
      <x14:pivotCacheDefinition pivotCacheId="8798143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3">
  <r>
    <d v="2022-05-27T00:00:00"/>
    <s v="Friday"/>
    <x v="0"/>
    <x v="0"/>
    <x v="0"/>
    <x v="0"/>
    <x v="0"/>
    <x v="0"/>
    <x v="0"/>
    <n v="5"/>
    <n v="141.82"/>
    <x v="0"/>
    <x v="0"/>
  </r>
  <r>
    <d v="2022-08-22T00:00:00"/>
    <s v="Monday"/>
    <x v="1"/>
    <x v="1"/>
    <x v="1"/>
    <x v="1"/>
    <x v="0"/>
    <x v="1"/>
    <x v="1"/>
    <n v="2"/>
    <n v="267.33999999999997"/>
    <x v="1"/>
    <x v="1"/>
  </r>
  <r>
    <d v="2022-04-03T00:00:00"/>
    <s v="Sunday"/>
    <x v="2"/>
    <x v="2"/>
    <x v="1"/>
    <x v="2"/>
    <x v="1"/>
    <x v="0"/>
    <x v="2"/>
    <n v="1"/>
    <n v="292"/>
    <x v="2"/>
    <x v="1"/>
  </r>
  <r>
    <d v="2022-07-13T00:00:00"/>
    <s v="Wednesday"/>
    <x v="3"/>
    <x v="3"/>
    <x v="2"/>
    <x v="2"/>
    <x v="2"/>
    <x v="0"/>
    <x v="1"/>
    <n v="4"/>
    <n v="245.44"/>
    <x v="3"/>
    <x v="1"/>
  </r>
  <r>
    <d v="2022-08-25T00:00:00"/>
    <s v="Thursday"/>
    <x v="1"/>
    <x v="4"/>
    <x v="1"/>
    <x v="2"/>
    <x v="1"/>
    <x v="2"/>
    <x v="3"/>
    <n v="2"/>
    <n v="184.51"/>
    <x v="4"/>
    <x v="1"/>
  </r>
  <r>
    <d v="2022-02-23T00:00:00"/>
    <s v="Wednesday"/>
    <x v="4"/>
    <x v="1"/>
    <x v="1"/>
    <x v="1"/>
    <x v="1"/>
    <x v="2"/>
    <x v="4"/>
    <n v="2"/>
    <n v="128.86000000000001"/>
    <x v="5"/>
    <x v="2"/>
  </r>
  <r>
    <d v="2022-07-12T00:00:00"/>
    <s v="Tuesday"/>
    <x v="3"/>
    <x v="0"/>
    <x v="0"/>
    <x v="0"/>
    <x v="1"/>
    <x v="0"/>
    <x v="2"/>
    <n v="1"/>
    <n v="207.85"/>
    <x v="6"/>
    <x v="3"/>
  </r>
  <r>
    <d v="2022-07-14T00:00:00"/>
    <s v="Thursday"/>
    <x v="3"/>
    <x v="5"/>
    <x v="2"/>
    <x v="3"/>
    <x v="2"/>
    <x v="1"/>
    <x v="5"/>
    <n v="2"/>
    <n v="163.32"/>
    <x v="7"/>
    <x v="2"/>
  </r>
  <r>
    <d v="2022-06-20T00:00:00"/>
    <s v="Monday"/>
    <x v="5"/>
    <x v="4"/>
    <x v="1"/>
    <x v="2"/>
    <x v="1"/>
    <x v="1"/>
    <x v="1"/>
    <n v="3"/>
    <n v="199.47"/>
    <x v="8"/>
    <x v="3"/>
  </r>
  <r>
    <d v="2022-01-02T00:00:00"/>
    <s v="Sunday"/>
    <x v="6"/>
    <x v="4"/>
    <x v="1"/>
    <x v="2"/>
    <x v="0"/>
    <x v="3"/>
    <x v="0"/>
    <n v="4"/>
    <n v="298.22000000000003"/>
    <x v="9"/>
    <x v="3"/>
  </r>
  <r>
    <d v="2022-06-25T00:00:00"/>
    <s v="Saturday"/>
    <x v="5"/>
    <x v="1"/>
    <x v="1"/>
    <x v="1"/>
    <x v="2"/>
    <x v="0"/>
    <x v="1"/>
    <n v="1"/>
    <n v="117.18"/>
    <x v="10"/>
    <x v="1"/>
  </r>
  <r>
    <d v="2022-01-31T00:00:00"/>
    <s v="Monday"/>
    <x v="6"/>
    <x v="6"/>
    <x v="2"/>
    <x v="4"/>
    <x v="1"/>
    <x v="2"/>
    <x v="2"/>
    <n v="2"/>
    <n v="240.23"/>
    <x v="11"/>
    <x v="1"/>
  </r>
  <r>
    <d v="2022-08-26T00:00:00"/>
    <s v="Friday"/>
    <x v="1"/>
    <x v="2"/>
    <x v="1"/>
    <x v="2"/>
    <x v="1"/>
    <x v="2"/>
    <x v="2"/>
    <n v="3"/>
    <n v="295.75"/>
    <x v="12"/>
    <x v="0"/>
  </r>
  <r>
    <d v="2022-02-08T00:00:00"/>
    <s v="Tuesday"/>
    <x v="4"/>
    <x v="6"/>
    <x v="2"/>
    <x v="4"/>
    <x v="0"/>
    <x v="2"/>
    <x v="6"/>
    <n v="1"/>
    <n v="54.44"/>
    <x v="13"/>
    <x v="1"/>
  </r>
  <r>
    <d v="2022-08-25T00:00:00"/>
    <s v="Thursday"/>
    <x v="1"/>
    <x v="7"/>
    <x v="1"/>
    <x v="1"/>
    <x v="0"/>
    <x v="2"/>
    <x v="1"/>
    <n v="1"/>
    <n v="104.16"/>
    <x v="14"/>
    <x v="3"/>
  </r>
  <r>
    <d v="2022-05-15T00:00:00"/>
    <s v="Sunday"/>
    <x v="0"/>
    <x v="2"/>
    <x v="1"/>
    <x v="2"/>
    <x v="1"/>
    <x v="2"/>
    <x v="4"/>
    <n v="5"/>
    <n v="64.66"/>
    <x v="15"/>
    <x v="0"/>
  </r>
  <r>
    <d v="2022-01-27T00:00:00"/>
    <s v="Thursday"/>
    <x v="6"/>
    <x v="6"/>
    <x v="2"/>
    <x v="4"/>
    <x v="2"/>
    <x v="1"/>
    <x v="2"/>
    <n v="3"/>
    <n v="114.29"/>
    <x v="16"/>
    <x v="2"/>
  </r>
  <r>
    <d v="2022-04-02T00:00:00"/>
    <s v="Saturday"/>
    <x v="2"/>
    <x v="8"/>
    <x v="3"/>
    <x v="5"/>
    <x v="1"/>
    <x v="3"/>
    <x v="2"/>
    <n v="1"/>
    <n v="167.77"/>
    <x v="17"/>
    <x v="1"/>
  </r>
  <r>
    <d v="2022-07-11T00:00:00"/>
    <s v="Monday"/>
    <x v="3"/>
    <x v="0"/>
    <x v="0"/>
    <x v="0"/>
    <x v="1"/>
    <x v="3"/>
    <x v="6"/>
    <n v="3"/>
    <n v="167.36"/>
    <x v="18"/>
    <x v="2"/>
  </r>
  <r>
    <d v="2022-08-18T00:00:00"/>
    <s v="Thursday"/>
    <x v="1"/>
    <x v="2"/>
    <x v="1"/>
    <x v="2"/>
    <x v="0"/>
    <x v="1"/>
    <x v="6"/>
    <n v="4"/>
    <n v="295.52999999999997"/>
    <x v="19"/>
    <x v="3"/>
  </r>
  <r>
    <d v="2022-04-08T00:00:00"/>
    <s v="Friday"/>
    <x v="2"/>
    <x v="8"/>
    <x v="3"/>
    <x v="5"/>
    <x v="2"/>
    <x v="0"/>
    <x v="4"/>
    <n v="4"/>
    <n v="107.31"/>
    <x v="20"/>
    <x v="2"/>
  </r>
  <r>
    <d v="2022-06-07T00:00:00"/>
    <s v="Tuesday"/>
    <x v="5"/>
    <x v="3"/>
    <x v="2"/>
    <x v="2"/>
    <x v="0"/>
    <x v="3"/>
    <x v="2"/>
    <n v="5"/>
    <n v="119.54"/>
    <x v="21"/>
    <x v="0"/>
  </r>
  <r>
    <d v="2022-05-07T00:00:00"/>
    <s v="Saturday"/>
    <x v="0"/>
    <x v="8"/>
    <x v="3"/>
    <x v="5"/>
    <x v="2"/>
    <x v="3"/>
    <x v="1"/>
    <n v="3"/>
    <n v="295.25"/>
    <x v="22"/>
    <x v="3"/>
  </r>
  <r>
    <d v="2022-05-28T00:00:00"/>
    <s v="Saturday"/>
    <x v="0"/>
    <x v="7"/>
    <x v="1"/>
    <x v="1"/>
    <x v="0"/>
    <x v="3"/>
    <x v="4"/>
    <n v="4"/>
    <n v="63.73"/>
    <x v="23"/>
    <x v="0"/>
  </r>
  <r>
    <d v="2022-06-25T00:00:00"/>
    <s v="Saturday"/>
    <x v="5"/>
    <x v="3"/>
    <x v="2"/>
    <x v="2"/>
    <x v="2"/>
    <x v="1"/>
    <x v="4"/>
    <n v="4"/>
    <n v="86.13"/>
    <x v="24"/>
    <x v="2"/>
  </r>
  <r>
    <d v="2022-03-24T00:00:00"/>
    <s v="Thursday"/>
    <x v="7"/>
    <x v="4"/>
    <x v="1"/>
    <x v="2"/>
    <x v="2"/>
    <x v="0"/>
    <x v="0"/>
    <n v="4"/>
    <n v="172.68"/>
    <x v="25"/>
    <x v="2"/>
  </r>
  <r>
    <d v="2022-02-25T00:00:00"/>
    <s v="Friday"/>
    <x v="4"/>
    <x v="9"/>
    <x v="4"/>
    <x v="6"/>
    <x v="1"/>
    <x v="1"/>
    <x v="4"/>
    <n v="5"/>
    <n v="203.5"/>
    <x v="26"/>
    <x v="0"/>
  </r>
  <r>
    <d v="2022-05-15T00:00:00"/>
    <s v="Sunday"/>
    <x v="0"/>
    <x v="3"/>
    <x v="2"/>
    <x v="2"/>
    <x v="0"/>
    <x v="0"/>
    <x v="2"/>
    <n v="3"/>
    <n v="200.92"/>
    <x v="27"/>
    <x v="1"/>
  </r>
  <r>
    <d v="2022-03-31T00:00:00"/>
    <s v="Thursday"/>
    <x v="7"/>
    <x v="6"/>
    <x v="2"/>
    <x v="4"/>
    <x v="1"/>
    <x v="3"/>
    <x v="2"/>
    <n v="1"/>
    <n v="251.98"/>
    <x v="28"/>
    <x v="0"/>
  </r>
  <r>
    <d v="2022-08-10T00:00:00"/>
    <s v="Wednesday"/>
    <x v="1"/>
    <x v="9"/>
    <x v="4"/>
    <x v="6"/>
    <x v="2"/>
    <x v="1"/>
    <x v="0"/>
    <n v="4"/>
    <n v="121.9"/>
    <x v="29"/>
    <x v="0"/>
  </r>
  <r>
    <d v="2022-04-26T00:00:00"/>
    <s v="Tuesday"/>
    <x v="2"/>
    <x v="5"/>
    <x v="2"/>
    <x v="3"/>
    <x v="0"/>
    <x v="1"/>
    <x v="1"/>
    <n v="4"/>
    <n v="258.82"/>
    <x v="30"/>
    <x v="1"/>
  </r>
  <r>
    <d v="2022-02-24T00:00:00"/>
    <s v="Thursday"/>
    <x v="4"/>
    <x v="2"/>
    <x v="1"/>
    <x v="2"/>
    <x v="1"/>
    <x v="3"/>
    <x v="1"/>
    <n v="2"/>
    <n v="203.05"/>
    <x v="31"/>
    <x v="1"/>
  </r>
  <r>
    <d v="2022-01-07T00:00:00"/>
    <s v="Friday"/>
    <x v="6"/>
    <x v="9"/>
    <x v="4"/>
    <x v="6"/>
    <x v="1"/>
    <x v="0"/>
    <x v="4"/>
    <n v="2"/>
    <n v="130.05000000000001"/>
    <x v="32"/>
    <x v="3"/>
  </r>
  <r>
    <d v="2022-06-28T00:00:00"/>
    <s v="Tuesday"/>
    <x v="5"/>
    <x v="8"/>
    <x v="3"/>
    <x v="5"/>
    <x v="1"/>
    <x v="2"/>
    <x v="5"/>
    <n v="4"/>
    <n v="185.54"/>
    <x v="33"/>
    <x v="2"/>
  </r>
  <r>
    <d v="2022-03-08T00:00:00"/>
    <s v="Tuesday"/>
    <x v="7"/>
    <x v="5"/>
    <x v="2"/>
    <x v="3"/>
    <x v="1"/>
    <x v="2"/>
    <x v="4"/>
    <n v="5"/>
    <n v="234.84"/>
    <x v="34"/>
    <x v="0"/>
  </r>
  <r>
    <d v="2022-07-26T00:00:00"/>
    <s v="Tuesday"/>
    <x v="3"/>
    <x v="1"/>
    <x v="1"/>
    <x v="1"/>
    <x v="1"/>
    <x v="0"/>
    <x v="5"/>
    <n v="2"/>
    <n v="134.38999999999999"/>
    <x v="35"/>
    <x v="1"/>
  </r>
  <r>
    <d v="2022-02-16T00:00:00"/>
    <s v="Wednesday"/>
    <x v="4"/>
    <x v="5"/>
    <x v="2"/>
    <x v="3"/>
    <x v="2"/>
    <x v="0"/>
    <x v="6"/>
    <n v="3"/>
    <n v="82.56"/>
    <x v="36"/>
    <x v="2"/>
  </r>
  <r>
    <d v="2022-07-17T00:00:00"/>
    <s v="Sunday"/>
    <x v="3"/>
    <x v="5"/>
    <x v="2"/>
    <x v="3"/>
    <x v="2"/>
    <x v="0"/>
    <x v="2"/>
    <n v="4"/>
    <n v="191.11"/>
    <x v="37"/>
    <x v="3"/>
  </r>
  <r>
    <d v="2022-04-28T00:00:00"/>
    <s v="Thursday"/>
    <x v="2"/>
    <x v="1"/>
    <x v="1"/>
    <x v="1"/>
    <x v="0"/>
    <x v="3"/>
    <x v="3"/>
    <n v="1"/>
    <n v="70.69"/>
    <x v="38"/>
    <x v="2"/>
  </r>
  <r>
    <d v="2022-03-13T00:00:00"/>
    <s v="Sunday"/>
    <x v="7"/>
    <x v="5"/>
    <x v="2"/>
    <x v="3"/>
    <x v="1"/>
    <x v="2"/>
    <x v="4"/>
    <n v="1"/>
    <n v="89.14"/>
    <x v="39"/>
    <x v="1"/>
  </r>
  <r>
    <d v="2022-07-24T00:00:00"/>
    <s v="Sunday"/>
    <x v="3"/>
    <x v="8"/>
    <x v="3"/>
    <x v="5"/>
    <x v="0"/>
    <x v="0"/>
    <x v="6"/>
    <n v="4"/>
    <n v="135.07"/>
    <x v="40"/>
    <x v="1"/>
  </r>
  <r>
    <d v="2022-06-11T00:00:00"/>
    <s v="Saturday"/>
    <x v="5"/>
    <x v="7"/>
    <x v="1"/>
    <x v="1"/>
    <x v="2"/>
    <x v="1"/>
    <x v="2"/>
    <n v="2"/>
    <n v="223"/>
    <x v="41"/>
    <x v="1"/>
  </r>
  <r>
    <d v="2022-06-28T00:00:00"/>
    <s v="Tuesday"/>
    <x v="5"/>
    <x v="0"/>
    <x v="0"/>
    <x v="0"/>
    <x v="0"/>
    <x v="0"/>
    <x v="4"/>
    <n v="4"/>
    <n v="238.52"/>
    <x v="42"/>
    <x v="1"/>
  </r>
  <r>
    <d v="2022-07-12T00:00:00"/>
    <s v="Tuesday"/>
    <x v="3"/>
    <x v="3"/>
    <x v="2"/>
    <x v="2"/>
    <x v="1"/>
    <x v="2"/>
    <x v="3"/>
    <n v="5"/>
    <n v="120.55"/>
    <x v="43"/>
    <x v="2"/>
  </r>
  <r>
    <d v="2022-02-13T00:00:00"/>
    <s v="Sunday"/>
    <x v="4"/>
    <x v="8"/>
    <x v="3"/>
    <x v="5"/>
    <x v="1"/>
    <x v="1"/>
    <x v="2"/>
    <n v="4"/>
    <n v="212.66"/>
    <x v="44"/>
    <x v="3"/>
  </r>
  <r>
    <d v="2022-07-10T00:00:00"/>
    <s v="Sunday"/>
    <x v="3"/>
    <x v="5"/>
    <x v="2"/>
    <x v="3"/>
    <x v="1"/>
    <x v="1"/>
    <x v="5"/>
    <n v="5"/>
    <n v="256.22000000000003"/>
    <x v="45"/>
    <x v="3"/>
  </r>
  <r>
    <d v="2022-01-22T00:00:00"/>
    <s v="Saturday"/>
    <x v="6"/>
    <x v="4"/>
    <x v="1"/>
    <x v="2"/>
    <x v="0"/>
    <x v="2"/>
    <x v="5"/>
    <n v="4"/>
    <n v="124.4"/>
    <x v="46"/>
    <x v="3"/>
  </r>
  <r>
    <d v="2022-06-18T00:00:00"/>
    <s v="Saturday"/>
    <x v="5"/>
    <x v="4"/>
    <x v="1"/>
    <x v="2"/>
    <x v="1"/>
    <x v="2"/>
    <x v="2"/>
    <n v="2"/>
    <n v="80.33"/>
    <x v="47"/>
    <x v="0"/>
  </r>
  <r>
    <d v="2022-03-18T00:00:00"/>
    <s v="Friday"/>
    <x v="7"/>
    <x v="6"/>
    <x v="2"/>
    <x v="4"/>
    <x v="0"/>
    <x v="3"/>
    <x v="5"/>
    <n v="5"/>
    <n v="58.65"/>
    <x v="48"/>
    <x v="2"/>
  </r>
  <r>
    <d v="2022-08-21T00:00:00"/>
    <s v="Sunday"/>
    <x v="1"/>
    <x v="2"/>
    <x v="1"/>
    <x v="2"/>
    <x v="1"/>
    <x v="1"/>
    <x v="1"/>
    <n v="5"/>
    <n v="183.55"/>
    <x v="49"/>
    <x v="1"/>
  </r>
  <r>
    <d v="2022-07-07T00:00:00"/>
    <s v="Thursday"/>
    <x v="3"/>
    <x v="9"/>
    <x v="4"/>
    <x v="6"/>
    <x v="0"/>
    <x v="1"/>
    <x v="5"/>
    <n v="2"/>
    <n v="210.77"/>
    <x v="50"/>
    <x v="0"/>
  </r>
  <r>
    <d v="2022-05-11T00:00:00"/>
    <s v="Wednesday"/>
    <x v="0"/>
    <x v="1"/>
    <x v="1"/>
    <x v="1"/>
    <x v="0"/>
    <x v="2"/>
    <x v="2"/>
    <n v="4"/>
    <n v="218.82"/>
    <x v="51"/>
    <x v="3"/>
  </r>
  <r>
    <d v="2022-06-17T00:00:00"/>
    <s v="Friday"/>
    <x v="5"/>
    <x v="0"/>
    <x v="0"/>
    <x v="0"/>
    <x v="1"/>
    <x v="3"/>
    <x v="4"/>
    <n v="5"/>
    <n v="133.74"/>
    <x v="52"/>
    <x v="0"/>
  </r>
  <r>
    <d v="2022-05-24T00:00:00"/>
    <s v="Tuesday"/>
    <x v="0"/>
    <x v="7"/>
    <x v="1"/>
    <x v="1"/>
    <x v="1"/>
    <x v="2"/>
    <x v="4"/>
    <n v="1"/>
    <n v="208.47"/>
    <x v="53"/>
    <x v="1"/>
  </r>
  <r>
    <d v="2022-05-28T00:00:00"/>
    <s v="Saturday"/>
    <x v="0"/>
    <x v="5"/>
    <x v="2"/>
    <x v="3"/>
    <x v="0"/>
    <x v="0"/>
    <x v="5"/>
    <n v="1"/>
    <n v="180.42"/>
    <x v="54"/>
    <x v="1"/>
  </r>
  <r>
    <d v="2022-06-29T00:00:00"/>
    <s v="Wednesday"/>
    <x v="5"/>
    <x v="9"/>
    <x v="4"/>
    <x v="6"/>
    <x v="2"/>
    <x v="2"/>
    <x v="0"/>
    <n v="3"/>
    <n v="127.36"/>
    <x v="55"/>
    <x v="0"/>
  </r>
  <r>
    <d v="2022-05-25T00:00:00"/>
    <s v="Wednesday"/>
    <x v="0"/>
    <x v="6"/>
    <x v="2"/>
    <x v="4"/>
    <x v="2"/>
    <x v="1"/>
    <x v="0"/>
    <n v="3"/>
    <n v="149.51"/>
    <x v="56"/>
    <x v="1"/>
  </r>
  <r>
    <d v="2022-03-09T00:00:00"/>
    <s v="Wednesday"/>
    <x v="7"/>
    <x v="8"/>
    <x v="3"/>
    <x v="5"/>
    <x v="2"/>
    <x v="2"/>
    <x v="6"/>
    <n v="3"/>
    <n v="136.36000000000001"/>
    <x v="57"/>
    <x v="0"/>
  </r>
  <r>
    <d v="2022-08-21T00:00:00"/>
    <s v="Sunday"/>
    <x v="1"/>
    <x v="3"/>
    <x v="2"/>
    <x v="2"/>
    <x v="0"/>
    <x v="2"/>
    <x v="4"/>
    <n v="5"/>
    <n v="162.38"/>
    <x v="58"/>
    <x v="0"/>
  </r>
  <r>
    <d v="2022-05-27T00:00:00"/>
    <s v="Friday"/>
    <x v="0"/>
    <x v="9"/>
    <x v="4"/>
    <x v="6"/>
    <x v="1"/>
    <x v="3"/>
    <x v="3"/>
    <n v="2"/>
    <n v="259.66000000000003"/>
    <x v="59"/>
    <x v="3"/>
  </r>
  <r>
    <d v="2022-05-22T00:00:00"/>
    <s v="Sunday"/>
    <x v="0"/>
    <x v="5"/>
    <x v="2"/>
    <x v="3"/>
    <x v="2"/>
    <x v="1"/>
    <x v="5"/>
    <n v="1"/>
    <n v="180.39"/>
    <x v="60"/>
    <x v="0"/>
  </r>
  <r>
    <d v="2022-06-02T00:00:00"/>
    <s v="Thursday"/>
    <x v="5"/>
    <x v="5"/>
    <x v="2"/>
    <x v="3"/>
    <x v="2"/>
    <x v="0"/>
    <x v="5"/>
    <n v="3"/>
    <n v="80.349999999999994"/>
    <x v="61"/>
    <x v="0"/>
  </r>
  <r>
    <d v="2022-03-06T00:00:00"/>
    <s v="Sunday"/>
    <x v="7"/>
    <x v="0"/>
    <x v="0"/>
    <x v="0"/>
    <x v="2"/>
    <x v="1"/>
    <x v="0"/>
    <n v="2"/>
    <n v="222.08"/>
    <x v="62"/>
    <x v="2"/>
  </r>
  <r>
    <d v="2022-03-21T00:00:00"/>
    <s v="Monday"/>
    <x v="7"/>
    <x v="9"/>
    <x v="4"/>
    <x v="6"/>
    <x v="1"/>
    <x v="3"/>
    <x v="2"/>
    <n v="1"/>
    <n v="287.44"/>
    <x v="63"/>
    <x v="2"/>
  </r>
  <r>
    <d v="2022-07-16T00:00:00"/>
    <s v="Saturday"/>
    <x v="3"/>
    <x v="0"/>
    <x v="0"/>
    <x v="0"/>
    <x v="0"/>
    <x v="0"/>
    <x v="4"/>
    <n v="5"/>
    <n v="137.9"/>
    <x v="64"/>
    <x v="2"/>
  </r>
  <r>
    <d v="2022-03-19T00:00:00"/>
    <s v="Saturday"/>
    <x v="7"/>
    <x v="5"/>
    <x v="2"/>
    <x v="3"/>
    <x v="0"/>
    <x v="1"/>
    <x v="5"/>
    <n v="3"/>
    <n v="214.68"/>
    <x v="65"/>
    <x v="2"/>
  </r>
  <r>
    <d v="2022-08-04T00:00:00"/>
    <s v="Thursday"/>
    <x v="1"/>
    <x v="3"/>
    <x v="2"/>
    <x v="2"/>
    <x v="1"/>
    <x v="0"/>
    <x v="1"/>
    <n v="2"/>
    <n v="269.88"/>
    <x v="66"/>
    <x v="1"/>
  </r>
  <r>
    <d v="2022-05-03T00:00:00"/>
    <s v="Tuesday"/>
    <x v="0"/>
    <x v="4"/>
    <x v="1"/>
    <x v="2"/>
    <x v="0"/>
    <x v="3"/>
    <x v="6"/>
    <n v="1"/>
    <n v="96.97"/>
    <x v="67"/>
    <x v="3"/>
  </r>
  <r>
    <d v="2022-07-01T00:00:00"/>
    <s v="Friday"/>
    <x v="3"/>
    <x v="8"/>
    <x v="3"/>
    <x v="5"/>
    <x v="1"/>
    <x v="0"/>
    <x v="3"/>
    <n v="4"/>
    <n v="270.55"/>
    <x v="68"/>
    <x v="1"/>
  </r>
  <r>
    <d v="2022-06-16T00:00:00"/>
    <s v="Thursday"/>
    <x v="5"/>
    <x v="7"/>
    <x v="1"/>
    <x v="1"/>
    <x v="0"/>
    <x v="3"/>
    <x v="3"/>
    <n v="3"/>
    <n v="261.31"/>
    <x v="69"/>
    <x v="0"/>
  </r>
  <r>
    <d v="2022-01-10T00:00:00"/>
    <s v="Monday"/>
    <x v="6"/>
    <x v="8"/>
    <x v="3"/>
    <x v="5"/>
    <x v="0"/>
    <x v="3"/>
    <x v="1"/>
    <n v="4"/>
    <n v="56.4"/>
    <x v="70"/>
    <x v="0"/>
  </r>
  <r>
    <d v="2022-07-08T00:00:00"/>
    <s v="Friday"/>
    <x v="3"/>
    <x v="1"/>
    <x v="1"/>
    <x v="1"/>
    <x v="2"/>
    <x v="3"/>
    <x v="2"/>
    <n v="3"/>
    <n v="239.55"/>
    <x v="71"/>
    <x v="0"/>
  </r>
  <r>
    <d v="2022-08-20T00:00:00"/>
    <s v="Saturday"/>
    <x v="1"/>
    <x v="4"/>
    <x v="1"/>
    <x v="2"/>
    <x v="0"/>
    <x v="0"/>
    <x v="2"/>
    <n v="2"/>
    <n v="94.62"/>
    <x v="72"/>
    <x v="1"/>
  </r>
  <r>
    <d v="2022-07-24T00:00:00"/>
    <s v="Sunday"/>
    <x v="3"/>
    <x v="0"/>
    <x v="0"/>
    <x v="0"/>
    <x v="0"/>
    <x v="0"/>
    <x v="2"/>
    <n v="4"/>
    <n v="57.22"/>
    <x v="73"/>
    <x v="1"/>
  </r>
  <r>
    <d v="2022-07-14T00:00:00"/>
    <s v="Thursday"/>
    <x v="3"/>
    <x v="2"/>
    <x v="1"/>
    <x v="2"/>
    <x v="2"/>
    <x v="0"/>
    <x v="2"/>
    <n v="1"/>
    <n v="170.86"/>
    <x v="74"/>
    <x v="3"/>
  </r>
  <r>
    <d v="2022-02-11T00:00:00"/>
    <s v="Friday"/>
    <x v="4"/>
    <x v="7"/>
    <x v="1"/>
    <x v="1"/>
    <x v="2"/>
    <x v="1"/>
    <x v="3"/>
    <n v="3"/>
    <n v="105.79"/>
    <x v="75"/>
    <x v="3"/>
  </r>
  <r>
    <d v="2022-05-26T00:00:00"/>
    <s v="Thursday"/>
    <x v="0"/>
    <x v="7"/>
    <x v="1"/>
    <x v="1"/>
    <x v="2"/>
    <x v="1"/>
    <x v="3"/>
    <n v="5"/>
    <n v="112.95"/>
    <x v="76"/>
    <x v="0"/>
  </r>
  <r>
    <d v="2022-08-20T00:00:00"/>
    <s v="Saturday"/>
    <x v="1"/>
    <x v="5"/>
    <x v="2"/>
    <x v="3"/>
    <x v="0"/>
    <x v="0"/>
    <x v="1"/>
    <n v="5"/>
    <n v="55.8"/>
    <x v="77"/>
    <x v="0"/>
  </r>
  <r>
    <d v="2022-05-05T00:00:00"/>
    <s v="Thursday"/>
    <x v="0"/>
    <x v="6"/>
    <x v="2"/>
    <x v="4"/>
    <x v="2"/>
    <x v="3"/>
    <x v="6"/>
    <n v="1"/>
    <n v="50.1"/>
    <x v="78"/>
    <x v="0"/>
  </r>
  <r>
    <d v="2022-08-31T00:00:00"/>
    <s v="Wednesday"/>
    <x v="1"/>
    <x v="1"/>
    <x v="1"/>
    <x v="1"/>
    <x v="2"/>
    <x v="0"/>
    <x v="1"/>
    <n v="1"/>
    <n v="56.49"/>
    <x v="79"/>
    <x v="2"/>
  </r>
  <r>
    <d v="2022-04-21T00:00:00"/>
    <s v="Thursday"/>
    <x v="2"/>
    <x v="5"/>
    <x v="2"/>
    <x v="3"/>
    <x v="2"/>
    <x v="3"/>
    <x v="3"/>
    <n v="5"/>
    <n v="100.65"/>
    <x v="80"/>
    <x v="3"/>
  </r>
  <r>
    <d v="2022-08-21T00:00:00"/>
    <s v="Sunday"/>
    <x v="1"/>
    <x v="7"/>
    <x v="1"/>
    <x v="1"/>
    <x v="2"/>
    <x v="2"/>
    <x v="0"/>
    <n v="2"/>
    <n v="160.44"/>
    <x v="81"/>
    <x v="2"/>
  </r>
  <r>
    <d v="2022-04-15T00:00:00"/>
    <s v="Friday"/>
    <x v="2"/>
    <x v="9"/>
    <x v="4"/>
    <x v="6"/>
    <x v="1"/>
    <x v="1"/>
    <x v="0"/>
    <n v="4"/>
    <n v="242.44"/>
    <x v="82"/>
    <x v="1"/>
  </r>
  <r>
    <d v="2022-05-07T00:00:00"/>
    <s v="Saturday"/>
    <x v="0"/>
    <x v="1"/>
    <x v="1"/>
    <x v="1"/>
    <x v="0"/>
    <x v="1"/>
    <x v="3"/>
    <n v="2"/>
    <n v="209.81"/>
    <x v="83"/>
    <x v="0"/>
  </r>
  <r>
    <d v="2022-03-14T00:00:00"/>
    <s v="Monday"/>
    <x v="7"/>
    <x v="7"/>
    <x v="1"/>
    <x v="1"/>
    <x v="2"/>
    <x v="2"/>
    <x v="6"/>
    <n v="4"/>
    <n v="261.95999999999998"/>
    <x v="84"/>
    <x v="1"/>
  </r>
  <r>
    <d v="2022-08-30T00:00:00"/>
    <s v="Tuesday"/>
    <x v="1"/>
    <x v="6"/>
    <x v="2"/>
    <x v="4"/>
    <x v="2"/>
    <x v="2"/>
    <x v="1"/>
    <n v="3"/>
    <n v="242.71"/>
    <x v="85"/>
    <x v="1"/>
  </r>
  <r>
    <d v="2022-06-06T00:00:00"/>
    <s v="Monday"/>
    <x v="5"/>
    <x v="4"/>
    <x v="1"/>
    <x v="2"/>
    <x v="1"/>
    <x v="0"/>
    <x v="1"/>
    <n v="5"/>
    <n v="299.3"/>
    <x v="86"/>
    <x v="0"/>
  </r>
  <r>
    <d v="2022-08-29T00:00:00"/>
    <s v="Monday"/>
    <x v="1"/>
    <x v="1"/>
    <x v="1"/>
    <x v="1"/>
    <x v="0"/>
    <x v="1"/>
    <x v="1"/>
    <n v="4"/>
    <n v="162.85"/>
    <x v="87"/>
    <x v="2"/>
  </r>
  <r>
    <d v="2022-08-02T00:00:00"/>
    <s v="Tuesday"/>
    <x v="1"/>
    <x v="9"/>
    <x v="4"/>
    <x v="6"/>
    <x v="0"/>
    <x v="1"/>
    <x v="0"/>
    <n v="5"/>
    <n v="215.63"/>
    <x v="88"/>
    <x v="0"/>
  </r>
  <r>
    <d v="2022-05-31T00:00:00"/>
    <s v="Tuesday"/>
    <x v="0"/>
    <x v="4"/>
    <x v="1"/>
    <x v="2"/>
    <x v="1"/>
    <x v="0"/>
    <x v="2"/>
    <n v="1"/>
    <n v="54.99"/>
    <x v="89"/>
    <x v="1"/>
  </r>
  <r>
    <d v="2022-02-01T00:00:00"/>
    <s v="Tuesday"/>
    <x v="4"/>
    <x v="1"/>
    <x v="1"/>
    <x v="1"/>
    <x v="2"/>
    <x v="3"/>
    <x v="4"/>
    <n v="4"/>
    <n v="185.7"/>
    <x v="90"/>
    <x v="3"/>
  </r>
  <r>
    <d v="2022-04-09T00:00:00"/>
    <s v="Saturday"/>
    <x v="2"/>
    <x v="3"/>
    <x v="2"/>
    <x v="2"/>
    <x v="0"/>
    <x v="1"/>
    <x v="5"/>
    <n v="2"/>
    <n v="153.75"/>
    <x v="91"/>
    <x v="1"/>
  </r>
  <r>
    <d v="2022-03-21T00:00:00"/>
    <s v="Monday"/>
    <x v="7"/>
    <x v="6"/>
    <x v="2"/>
    <x v="4"/>
    <x v="2"/>
    <x v="0"/>
    <x v="3"/>
    <n v="5"/>
    <n v="235.5"/>
    <x v="92"/>
    <x v="3"/>
  </r>
  <r>
    <d v="2022-07-23T00:00:00"/>
    <s v="Saturday"/>
    <x v="3"/>
    <x v="6"/>
    <x v="2"/>
    <x v="4"/>
    <x v="1"/>
    <x v="2"/>
    <x v="5"/>
    <n v="3"/>
    <n v="239.76"/>
    <x v="93"/>
    <x v="0"/>
  </r>
  <r>
    <d v="2022-02-07T00:00:00"/>
    <s v="Monday"/>
    <x v="4"/>
    <x v="5"/>
    <x v="2"/>
    <x v="3"/>
    <x v="2"/>
    <x v="2"/>
    <x v="1"/>
    <n v="4"/>
    <n v="213.82"/>
    <x v="94"/>
    <x v="0"/>
  </r>
  <r>
    <d v="2022-04-27T00:00:00"/>
    <s v="Wednesday"/>
    <x v="2"/>
    <x v="1"/>
    <x v="1"/>
    <x v="1"/>
    <x v="1"/>
    <x v="2"/>
    <x v="0"/>
    <n v="1"/>
    <n v="67.2"/>
    <x v="95"/>
    <x v="3"/>
  </r>
  <r>
    <d v="2022-03-07T00:00:00"/>
    <s v="Monday"/>
    <x v="7"/>
    <x v="8"/>
    <x v="3"/>
    <x v="5"/>
    <x v="2"/>
    <x v="3"/>
    <x v="0"/>
    <n v="4"/>
    <n v="207.05"/>
    <x v="96"/>
    <x v="2"/>
  </r>
  <r>
    <d v="2022-05-05T00:00:00"/>
    <s v="Thursday"/>
    <x v="0"/>
    <x v="3"/>
    <x v="2"/>
    <x v="2"/>
    <x v="0"/>
    <x v="3"/>
    <x v="0"/>
    <n v="3"/>
    <n v="257.92"/>
    <x v="97"/>
    <x v="3"/>
  </r>
  <r>
    <d v="2022-06-18T00:00:00"/>
    <s v="Saturday"/>
    <x v="5"/>
    <x v="1"/>
    <x v="1"/>
    <x v="1"/>
    <x v="1"/>
    <x v="0"/>
    <x v="5"/>
    <n v="1"/>
    <n v="122.32"/>
    <x v="98"/>
    <x v="1"/>
  </r>
  <r>
    <d v="2022-05-26T00:00:00"/>
    <s v="Thursday"/>
    <x v="0"/>
    <x v="0"/>
    <x v="0"/>
    <x v="0"/>
    <x v="0"/>
    <x v="2"/>
    <x v="1"/>
    <n v="1"/>
    <n v="203.63"/>
    <x v="99"/>
    <x v="1"/>
  </r>
  <r>
    <d v="2022-05-28T00:00:00"/>
    <s v="Saturday"/>
    <x v="0"/>
    <x v="4"/>
    <x v="1"/>
    <x v="2"/>
    <x v="2"/>
    <x v="3"/>
    <x v="5"/>
    <n v="3"/>
    <n v="278.14999999999998"/>
    <x v="100"/>
    <x v="3"/>
  </r>
  <r>
    <d v="2022-07-03T00:00:00"/>
    <s v="Sunday"/>
    <x v="3"/>
    <x v="3"/>
    <x v="2"/>
    <x v="2"/>
    <x v="2"/>
    <x v="3"/>
    <x v="2"/>
    <n v="3"/>
    <n v="129.78"/>
    <x v="101"/>
    <x v="0"/>
  </r>
  <r>
    <d v="2022-06-05T00:00:00"/>
    <s v="Sunday"/>
    <x v="5"/>
    <x v="4"/>
    <x v="1"/>
    <x v="2"/>
    <x v="2"/>
    <x v="2"/>
    <x v="3"/>
    <n v="5"/>
    <n v="199.42"/>
    <x v="102"/>
    <x v="1"/>
  </r>
  <r>
    <d v="2022-06-26T00:00:00"/>
    <s v="Sunday"/>
    <x v="5"/>
    <x v="7"/>
    <x v="1"/>
    <x v="1"/>
    <x v="2"/>
    <x v="0"/>
    <x v="0"/>
    <n v="5"/>
    <n v="98.23"/>
    <x v="103"/>
    <x v="1"/>
  </r>
  <r>
    <d v="2022-05-07T00:00:00"/>
    <s v="Saturday"/>
    <x v="0"/>
    <x v="2"/>
    <x v="1"/>
    <x v="2"/>
    <x v="0"/>
    <x v="1"/>
    <x v="3"/>
    <n v="1"/>
    <n v="114.47"/>
    <x v="104"/>
    <x v="3"/>
  </r>
  <r>
    <d v="2022-03-04T00:00:00"/>
    <s v="Friday"/>
    <x v="7"/>
    <x v="9"/>
    <x v="4"/>
    <x v="6"/>
    <x v="1"/>
    <x v="1"/>
    <x v="0"/>
    <n v="5"/>
    <n v="224.71"/>
    <x v="105"/>
    <x v="2"/>
  </r>
  <r>
    <d v="2022-01-29T00:00:00"/>
    <s v="Saturday"/>
    <x v="6"/>
    <x v="4"/>
    <x v="1"/>
    <x v="2"/>
    <x v="0"/>
    <x v="0"/>
    <x v="6"/>
    <n v="3"/>
    <n v="104.04"/>
    <x v="106"/>
    <x v="1"/>
  </r>
  <r>
    <d v="2022-03-02T00:00:00"/>
    <s v="Wednesday"/>
    <x v="7"/>
    <x v="9"/>
    <x v="4"/>
    <x v="6"/>
    <x v="2"/>
    <x v="3"/>
    <x v="4"/>
    <n v="5"/>
    <n v="140.26"/>
    <x v="107"/>
    <x v="0"/>
  </r>
  <r>
    <d v="2022-06-01T00:00:00"/>
    <s v="Wednesday"/>
    <x v="5"/>
    <x v="7"/>
    <x v="1"/>
    <x v="1"/>
    <x v="2"/>
    <x v="1"/>
    <x v="4"/>
    <n v="5"/>
    <n v="215.38"/>
    <x v="108"/>
    <x v="0"/>
  </r>
  <r>
    <d v="2022-05-15T00:00:00"/>
    <s v="Sunday"/>
    <x v="0"/>
    <x v="1"/>
    <x v="1"/>
    <x v="1"/>
    <x v="1"/>
    <x v="0"/>
    <x v="3"/>
    <n v="4"/>
    <n v="127.55"/>
    <x v="109"/>
    <x v="1"/>
  </r>
  <r>
    <d v="2022-08-30T00:00:00"/>
    <s v="Tuesday"/>
    <x v="1"/>
    <x v="4"/>
    <x v="1"/>
    <x v="2"/>
    <x v="1"/>
    <x v="0"/>
    <x v="4"/>
    <n v="3"/>
    <n v="182.2"/>
    <x v="110"/>
    <x v="0"/>
  </r>
  <r>
    <d v="2022-04-04T00:00:00"/>
    <s v="Monday"/>
    <x v="2"/>
    <x v="3"/>
    <x v="2"/>
    <x v="2"/>
    <x v="2"/>
    <x v="2"/>
    <x v="2"/>
    <n v="4"/>
    <n v="246.66"/>
    <x v="111"/>
    <x v="1"/>
  </r>
  <r>
    <d v="2022-06-16T00:00:00"/>
    <s v="Thursday"/>
    <x v="5"/>
    <x v="1"/>
    <x v="1"/>
    <x v="1"/>
    <x v="1"/>
    <x v="2"/>
    <x v="0"/>
    <n v="5"/>
    <n v="262.68"/>
    <x v="112"/>
    <x v="3"/>
  </r>
  <r>
    <d v="2022-01-24T00:00:00"/>
    <s v="Monday"/>
    <x v="6"/>
    <x v="7"/>
    <x v="1"/>
    <x v="1"/>
    <x v="2"/>
    <x v="0"/>
    <x v="1"/>
    <n v="3"/>
    <n v="101.39"/>
    <x v="113"/>
    <x v="1"/>
  </r>
  <r>
    <d v="2022-02-14T00:00:00"/>
    <s v="Monday"/>
    <x v="4"/>
    <x v="5"/>
    <x v="2"/>
    <x v="3"/>
    <x v="1"/>
    <x v="2"/>
    <x v="0"/>
    <n v="1"/>
    <n v="59.05"/>
    <x v="114"/>
    <x v="1"/>
  </r>
  <r>
    <d v="2022-03-09T00:00:00"/>
    <s v="Wednesday"/>
    <x v="7"/>
    <x v="5"/>
    <x v="2"/>
    <x v="3"/>
    <x v="0"/>
    <x v="1"/>
    <x v="5"/>
    <n v="1"/>
    <n v="101.32"/>
    <x v="115"/>
    <x v="2"/>
  </r>
  <r>
    <d v="2022-07-16T00:00:00"/>
    <s v="Saturday"/>
    <x v="3"/>
    <x v="2"/>
    <x v="1"/>
    <x v="2"/>
    <x v="2"/>
    <x v="3"/>
    <x v="3"/>
    <n v="4"/>
    <n v="228.88"/>
    <x v="116"/>
    <x v="0"/>
  </r>
  <r>
    <d v="2022-06-15T00:00:00"/>
    <s v="Wednesday"/>
    <x v="5"/>
    <x v="2"/>
    <x v="1"/>
    <x v="2"/>
    <x v="1"/>
    <x v="0"/>
    <x v="0"/>
    <n v="4"/>
    <n v="258.60000000000002"/>
    <x v="117"/>
    <x v="0"/>
  </r>
  <r>
    <d v="2022-02-19T00:00:00"/>
    <s v="Saturday"/>
    <x v="4"/>
    <x v="7"/>
    <x v="1"/>
    <x v="1"/>
    <x v="0"/>
    <x v="1"/>
    <x v="3"/>
    <n v="4"/>
    <n v="129.94999999999999"/>
    <x v="118"/>
    <x v="1"/>
  </r>
  <r>
    <d v="2022-07-06T00:00:00"/>
    <s v="Wednesday"/>
    <x v="3"/>
    <x v="7"/>
    <x v="1"/>
    <x v="1"/>
    <x v="1"/>
    <x v="2"/>
    <x v="2"/>
    <n v="5"/>
    <n v="190.03"/>
    <x v="119"/>
    <x v="1"/>
  </r>
  <r>
    <d v="2022-02-01T00:00:00"/>
    <s v="Tuesday"/>
    <x v="4"/>
    <x v="8"/>
    <x v="3"/>
    <x v="5"/>
    <x v="0"/>
    <x v="2"/>
    <x v="5"/>
    <n v="1"/>
    <n v="239.21"/>
    <x v="120"/>
    <x v="3"/>
  </r>
  <r>
    <d v="2022-03-25T00:00:00"/>
    <s v="Friday"/>
    <x v="7"/>
    <x v="0"/>
    <x v="0"/>
    <x v="0"/>
    <x v="0"/>
    <x v="1"/>
    <x v="3"/>
    <n v="1"/>
    <n v="271.18"/>
    <x v="121"/>
    <x v="1"/>
  </r>
  <r>
    <d v="2022-02-03T00:00:00"/>
    <s v="Thursday"/>
    <x v="4"/>
    <x v="9"/>
    <x v="4"/>
    <x v="6"/>
    <x v="1"/>
    <x v="1"/>
    <x v="0"/>
    <n v="5"/>
    <n v="140.65"/>
    <x v="122"/>
    <x v="3"/>
  </r>
  <r>
    <d v="2022-06-30T00:00:00"/>
    <s v="Thursday"/>
    <x v="5"/>
    <x v="0"/>
    <x v="0"/>
    <x v="0"/>
    <x v="0"/>
    <x v="1"/>
    <x v="4"/>
    <n v="3"/>
    <n v="97.21"/>
    <x v="123"/>
    <x v="1"/>
  </r>
  <r>
    <d v="2022-02-12T00:00:00"/>
    <s v="Saturday"/>
    <x v="4"/>
    <x v="6"/>
    <x v="2"/>
    <x v="4"/>
    <x v="2"/>
    <x v="3"/>
    <x v="4"/>
    <n v="5"/>
    <n v="110.05"/>
    <x v="124"/>
    <x v="0"/>
  </r>
  <r>
    <d v="2022-07-15T00:00:00"/>
    <s v="Friday"/>
    <x v="3"/>
    <x v="7"/>
    <x v="1"/>
    <x v="1"/>
    <x v="0"/>
    <x v="2"/>
    <x v="2"/>
    <n v="1"/>
    <n v="209.13"/>
    <x v="125"/>
    <x v="1"/>
  </r>
  <r>
    <d v="2022-02-06T00:00:00"/>
    <s v="Sunday"/>
    <x v="4"/>
    <x v="2"/>
    <x v="1"/>
    <x v="2"/>
    <x v="1"/>
    <x v="3"/>
    <x v="3"/>
    <n v="1"/>
    <n v="256.81"/>
    <x v="126"/>
    <x v="0"/>
  </r>
  <r>
    <d v="2022-01-20T00:00:00"/>
    <s v="Thursday"/>
    <x v="6"/>
    <x v="6"/>
    <x v="2"/>
    <x v="4"/>
    <x v="1"/>
    <x v="0"/>
    <x v="2"/>
    <n v="2"/>
    <n v="53.05"/>
    <x v="127"/>
    <x v="1"/>
  </r>
  <r>
    <d v="2022-04-03T00:00:00"/>
    <s v="Sunday"/>
    <x v="2"/>
    <x v="1"/>
    <x v="1"/>
    <x v="1"/>
    <x v="2"/>
    <x v="3"/>
    <x v="4"/>
    <n v="4"/>
    <n v="127.11"/>
    <x v="128"/>
    <x v="1"/>
  </r>
  <r>
    <d v="2022-07-02T00:00:00"/>
    <s v="Saturday"/>
    <x v="3"/>
    <x v="3"/>
    <x v="2"/>
    <x v="2"/>
    <x v="1"/>
    <x v="3"/>
    <x v="0"/>
    <n v="2"/>
    <n v="259.45999999999998"/>
    <x v="129"/>
    <x v="3"/>
  </r>
  <r>
    <d v="2022-03-12T00:00:00"/>
    <s v="Saturday"/>
    <x v="7"/>
    <x v="5"/>
    <x v="2"/>
    <x v="3"/>
    <x v="0"/>
    <x v="2"/>
    <x v="4"/>
    <n v="2"/>
    <n v="183.29"/>
    <x v="130"/>
    <x v="3"/>
  </r>
  <r>
    <d v="2022-01-16T00:00:00"/>
    <s v="Sunday"/>
    <x v="6"/>
    <x v="5"/>
    <x v="2"/>
    <x v="3"/>
    <x v="1"/>
    <x v="3"/>
    <x v="5"/>
    <n v="2"/>
    <n v="130.4"/>
    <x v="131"/>
    <x v="1"/>
  </r>
  <r>
    <d v="2022-03-01T00:00:00"/>
    <s v="Tuesday"/>
    <x v="7"/>
    <x v="1"/>
    <x v="1"/>
    <x v="1"/>
    <x v="2"/>
    <x v="1"/>
    <x v="5"/>
    <n v="5"/>
    <n v="112.04"/>
    <x v="132"/>
    <x v="3"/>
  </r>
  <r>
    <d v="2022-02-27T00:00:00"/>
    <s v="Sunday"/>
    <x v="4"/>
    <x v="9"/>
    <x v="4"/>
    <x v="6"/>
    <x v="1"/>
    <x v="2"/>
    <x v="0"/>
    <n v="5"/>
    <n v="85.1"/>
    <x v="133"/>
    <x v="1"/>
  </r>
  <r>
    <d v="2022-07-02T00:00:00"/>
    <s v="Saturday"/>
    <x v="3"/>
    <x v="9"/>
    <x v="4"/>
    <x v="6"/>
    <x v="0"/>
    <x v="1"/>
    <x v="3"/>
    <n v="1"/>
    <n v="180.65"/>
    <x v="134"/>
    <x v="1"/>
  </r>
  <r>
    <d v="2022-02-08T00:00:00"/>
    <s v="Tuesday"/>
    <x v="4"/>
    <x v="8"/>
    <x v="3"/>
    <x v="5"/>
    <x v="1"/>
    <x v="2"/>
    <x v="4"/>
    <n v="5"/>
    <n v="147.13"/>
    <x v="135"/>
    <x v="3"/>
  </r>
  <r>
    <d v="2022-01-22T00:00:00"/>
    <s v="Saturday"/>
    <x v="6"/>
    <x v="9"/>
    <x v="4"/>
    <x v="6"/>
    <x v="1"/>
    <x v="0"/>
    <x v="3"/>
    <n v="3"/>
    <n v="110.78"/>
    <x v="136"/>
    <x v="1"/>
  </r>
  <r>
    <d v="2022-06-24T00:00:00"/>
    <s v="Friday"/>
    <x v="5"/>
    <x v="3"/>
    <x v="2"/>
    <x v="2"/>
    <x v="1"/>
    <x v="1"/>
    <x v="6"/>
    <n v="5"/>
    <n v="58.37"/>
    <x v="137"/>
    <x v="2"/>
  </r>
  <r>
    <d v="2022-07-23T00:00:00"/>
    <s v="Saturday"/>
    <x v="3"/>
    <x v="6"/>
    <x v="2"/>
    <x v="4"/>
    <x v="1"/>
    <x v="2"/>
    <x v="2"/>
    <n v="5"/>
    <n v="241.67"/>
    <x v="138"/>
    <x v="0"/>
  </r>
  <r>
    <d v="2022-07-25T00:00:00"/>
    <s v="Monday"/>
    <x v="3"/>
    <x v="5"/>
    <x v="2"/>
    <x v="3"/>
    <x v="1"/>
    <x v="0"/>
    <x v="1"/>
    <n v="2"/>
    <n v="89.67"/>
    <x v="139"/>
    <x v="2"/>
  </r>
  <r>
    <d v="2022-05-29T00:00:00"/>
    <s v="Sunday"/>
    <x v="0"/>
    <x v="2"/>
    <x v="1"/>
    <x v="2"/>
    <x v="1"/>
    <x v="1"/>
    <x v="5"/>
    <n v="1"/>
    <n v="132.09"/>
    <x v="140"/>
    <x v="2"/>
  </r>
  <r>
    <d v="2022-08-04T00:00:00"/>
    <s v="Thursday"/>
    <x v="1"/>
    <x v="8"/>
    <x v="3"/>
    <x v="5"/>
    <x v="1"/>
    <x v="2"/>
    <x v="0"/>
    <n v="2"/>
    <n v="202.18"/>
    <x v="141"/>
    <x v="2"/>
  </r>
  <r>
    <d v="2022-02-12T00:00:00"/>
    <s v="Saturday"/>
    <x v="4"/>
    <x v="1"/>
    <x v="1"/>
    <x v="1"/>
    <x v="2"/>
    <x v="2"/>
    <x v="4"/>
    <n v="3"/>
    <n v="90.19"/>
    <x v="142"/>
    <x v="1"/>
  </r>
  <r>
    <d v="2022-03-01T00:00:00"/>
    <s v="Tuesday"/>
    <x v="7"/>
    <x v="3"/>
    <x v="2"/>
    <x v="2"/>
    <x v="0"/>
    <x v="1"/>
    <x v="1"/>
    <n v="2"/>
    <n v="179.28"/>
    <x v="143"/>
    <x v="1"/>
  </r>
  <r>
    <d v="2022-03-23T00:00:00"/>
    <s v="Wednesday"/>
    <x v="7"/>
    <x v="3"/>
    <x v="2"/>
    <x v="2"/>
    <x v="2"/>
    <x v="3"/>
    <x v="1"/>
    <n v="5"/>
    <n v="188.61"/>
    <x v="144"/>
    <x v="3"/>
  </r>
  <r>
    <d v="2022-08-30T00:00:00"/>
    <s v="Tuesday"/>
    <x v="1"/>
    <x v="0"/>
    <x v="0"/>
    <x v="0"/>
    <x v="2"/>
    <x v="3"/>
    <x v="4"/>
    <n v="2"/>
    <n v="111.36"/>
    <x v="145"/>
    <x v="0"/>
  </r>
  <r>
    <d v="2022-02-18T00:00:00"/>
    <s v="Friday"/>
    <x v="4"/>
    <x v="8"/>
    <x v="3"/>
    <x v="5"/>
    <x v="1"/>
    <x v="3"/>
    <x v="4"/>
    <n v="3"/>
    <n v="53.98"/>
    <x v="146"/>
    <x v="1"/>
  </r>
  <r>
    <d v="2022-05-28T00:00:00"/>
    <s v="Saturday"/>
    <x v="0"/>
    <x v="5"/>
    <x v="2"/>
    <x v="3"/>
    <x v="0"/>
    <x v="1"/>
    <x v="5"/>
    <n v="4"/>
    <n v="240.64"/>
    <x v="147"/>
    <x v="1"/>
  </r>
  <r>
    <d v="2022-02-28T00:00:00"/>
    <s v="Monday"/>
    <x v="4"/>
    <x v="5"/>
    <x v="2"/>
    <x v="3"/>
    <x v="1"/>
    <x v="2"/>
    <x v="1"/>
    <n v="5"/>
    <n v="195.57"/>
    <x v="148"/>
    <x v="1"/>
  </r>
  <r>
    <d v="2022-03-09T00:00:00"/>
    <s v="Wednesday"/>
    <x v="7"/>
    <x v="3"/>
    <x v="2"/>
    <x v="2"/>
    <x v="0"/>
    <x v="1"/>
    <x v="5"/>
    <n v="3"/>
    <n v="224.66"/>
    <x v="149"/>
    <x v="1"/>
  </r>
  <r>
    <d v="2022-04-28T00:00:00"/>
    <s v="Thursday"/>
    <x v="2"/>
    <x v="9"/>
    <x v="4"/>
    <x v="6"/>
    <x v="1"/>
    <x v="3"/>
    <x v="5"/>
    <n v="3"/>
    <n v="65.2"/>
    <x v="150"/>
    <x v="3"/>
  </r>
  <r>
    <d v="2022-07-13T00:00:00"/>
    <s v="Wednesday"/>
    <x v="3"/>
    <x v="7"/>
    <x v="1"/>
    <x v="1"/>
    <x v="1"/>
    <x v="0"/>
    <x v="5"/>
    <n v="4"/>
    <n v="117.78"/>
    <x v="151"/>
    <x v="2"/>
  </r>
  <r>
    <d v="2022-02-09T00:00:00"/>
    <s v="Wednesday"/>
    <x v="4"/>
    <x v="4"/>
    <x v="1"/>
    <x v="2"/>
    <x v="1"/>
    <x v="1"/>
    <x v="6"/>
    <n v="4"/>
    <n v="214.93"/>
    <x v="152"/>
    <x v="0"/>
  </r>
  <r>
    <d v="2022-08-16T00:00:00"/>
    <s v="Tuesday"/>
    <x v="1"/>
    <x v="9"/>
    <x v="4"/>
    <x v="6"/>
    <x v="0"/>
    <x v="0"/>
    <x v="0"/>
    <n v="2"/>
    <n v="249.49"/>
    <x v="153"/>
    <x v="1"/>
  </r>
  <r>
    <d v="2022-06-13T00:00:00"/>
    <s v="Monday"/>
    <x v="5"/>
    <x v="1"/>
    <x v="1"/>
    <x v="1"/>
    <x v="2"/>
    <x v="2"/>
    <x v="6"/>
    <n v="4"/>
    <n v="141.35"/>
    <x v="154"/>
    <x v="2"/>
  </r>
  <r>
    <d v="2022-03-03T00:00:00"/>
    <s v="Thursday"/>
    <x v="7"/>
    <x v="9"/>
    <x v="4"/>
    <x v="6"/>
    <x v="0"/>
    <x v="0"/>
    <x v="0"/>
    <n v="3"/>
    <n v="264.14"/>
    <x v="155"/>
    <x v="0"/>
  </r>
  <r>
    <d v="2022-01-03T00:00:00"/>
    <s v="Monday"/>
    <x v="6"/>
    <x v="0"/>
    <x v="0"/>
    <x v="0"/>
    <x v="0"/>
    <x v="2"/>
    <x v="4"/>
    <n v="5"/>
    <n v="73.58"/>
    <x v="156"/>
    <x v="2"/>
  </r>
  <r>
    <d v="2022-07-26T00:00:00"/>
    <s v="Tuesday"/>
    <x v="3"/>
    <x v="0"/>
    <x v="0"/>
    <x v="0"/>
    <x v="0"/>
    <x v="1"/>
    <x v="1"/>
    <n v="1"/>
    <n v="106.59"/>
    <x v="157"/>
    <x v="0"/>
  </r>
  <r>
    <d v="2022-02-12T00:00:00"/>
    <s v="Saturday"/>
    <x v="4"/>
    <x v="3"/>
    <x v="2"/>
    <x v="2"/>
    <x v="2"/>
    <x v="1"/>
    <x v="5"/>
    <n v="3"/>
    <n v="59.98"/>
    <x v="158"/>
    <x v="2"/>
  </r>
  <r>
    <d v="2022-03-02T00:00:00"/>
    <s v="Wednesday"/>
    <x v="7"/>
    <x v="9"/>
    <x v="4"/>
    <x v="6"/>
    <x v="1"/>
    <x v="2"/>
    <x v="0"/>
    <n v="3"/>
    <n v="87.81"/>
    <x v="159"/>
    <x v="0"/>
  </r>
  <r>
    <d v="2022-04-06T00:00:00"/>
    <s v="Wednesday"/>
    <x v="2"/>
    <x v="3"/>
    <x v="2"/>
    <x v="2"/>
    <x v="2"/>
    <x v="3"/>
    <x v="0"/>
    <n v="2"/>
    <n v="283.60000000000002"/>
    <x v="160"/>
    <x v="2"/>
  </r>
  <r>
    <d v="2022-08-11T00:00:00"/>
    <s v="Thursday"/>
    <x v="1"/>
    <x v="9"/>
    <x v="4"/>
    <x v="6"/>
    <x v="2"/>
    <x v="0"/>
    <x v="0"/>
    <n v="2"/>
    <n v="194.31"/>
    <x v="161"/>
    <x v="2"/>
  </r>
  <r>
    <d v="2022-06-23T00:00:00"/>
    <s v="Thursday"/>
    <x v="5"/>
    <x v="6"/>
    <x v="2"/>
    <x v="4"/>
    <x v="0"/>
    <x v="0"/>
    <x v="0"/>
    <n v="4"/>
    <n v="199.68"/>
    <x v="162"/>
    <x v="3"/>
  </r>
  <r>
    <d v="2022-04-08T00:00:00"/>
    <s v="Friday"/>
    <x v="2"/>
    <x v="0"/>
    <x v="0"/>
    <x v="0"/>
    <x v="1"/>
    <x v="3"/>
    <x v="0"/>
    <n v="5"/>
    <n v="145.47"/>
    <x v="163"/>
    <x v="0"/>
  </r>
  <r>
    <d v="2022-01-31T00:00:00"/>
    <s v="Monday"/>
    <x v="6"/>
    <x v="6"/>
    <x v="2"/>
    <x v="4"/>
    <x v="1"/>
    <x v="0"/>
    <x v="3"/>
    <n v="1"/>
    <n v="141.11000000000001"/>
    <x v="164"/>
    <x v="2"/>
  </r>
  <r>
    <d v="2022-04-16T00:00:00"/>
    <s v="Saturday"/>
    <x v="2"/>
    <x v="4"/>
    <x v="1"/>
    <x v="2"/>
    <x v="1"/>
    <x v="2"/>
    <x v="4"/>
    <n v="2"/>
    <n v="188.4"/>
    <x v="165"/>
    <x v="0"/>
  </r>
  <r>
    <d v="2022-03-30T00:00:00"/>
    <s v="Wednesday"/>
    <x v="7"/>
    <x v="6"/>
    <x v="2"/>
    <x v="4"/>
    <x v="2"/>
    <x v="0"/>
    <x v="2"/>
    <n v="4"/>
    <n v="145.28"/>
    <x v="166"/>
    <x v="0"/>
  </r>
  <r>
    <d v="2022-07-15T00:00:00"/>
    <s v="Friday"/>
    <x v="3"/>
    <x v="7"/>
    <x v="1"/>
    <x v="1"/>
    <x v="2"/>
    <x v="1"/>
    <x v="3"/>
    <n v="2"/>
    <n v="277.48"/>
    <x v="167"/>
    <x v="0"/>
  </r>
  <r>
    <d v="2022-08-16T00:00:00"/>
    <s v="Tuesday"/>
    <x v="1"/>
    <x v="3"/>
    <x v="2"/>
    <x v="2"/>
    <x v="1"/>
    <x v="0"/>
    <x v="0"/>
    <n v="4"/>
    <n v="153.56"/>
    <x v="168"/>
    <x v="3"/>
  </r>
  <r>
    <d v="2022-03-15T00:00:00"/>
    <s v="Tuesday"/>
    <x v="7"/>
    <x v="0"/>
    <x v="0"/>
    <x v="0"/>
    <x v="2"/>
    <x v="2"/>
    <x v="0"/>
    <n v="2"/>
    <n v="74.83"/>
    <x v="169"/>
    <x v="0"/>
  </r>
  <r>
    <d v="2022-07-06T00:00:00"/>
    <s v="Wednesday"/>
    <x v="3"/>
    <x v="6"/>
    <x v="2"/>
    <x v="4"/>
    <x v="1"/>
    <x v="0"/>
    <x v="2"/>
    <n v="1"/>
    <n v="136.80000000000001"/>
    <x v="170"/>
    <x v="2"/>
  </r>
  <r>
    <d v="2022-06-26T00:00:00"/>
    <s v="Sunday"/>
    <x v="5"/>
    <x v="1"/>
    <x v="1"/>
    <x v="1"/>
    <x v="0"/>
    <x v="2"/>
    <x v="1"/>
    <n v="3"/>
    <n v="209.69"/>
    <x v="171"/>
    <x v="3"/>
  </r>
  <r>
    <d v="2022-03-18T00:00:00"/>
    <s v="Friday"/>
    <x v="7"/>
    <x v="6"/>
    <x v="2"/>
    <x v="4"/>
    <x v="2"/>
    <x v="2"/>
    <x v="6"/>
    <n v="3"/>
    <n v="200.87"/>
    <x v="172"/>
    <x v="1"/>
  </r>
  <r>
    <d v="2022-02-04T00:00:00"/>
    <s v="Friday"/>
    <x v="4"/>
    <x v="9"/>
    <x v="4"/>
    <x v="6"/>
    <x v="2"/>
    <x v="1"/>
    <x v="0"/>
    <n v="1"/>
    <n v="221.26"/>
    <x v="173"/>
    <x v="0"/>
  </r>
  <r>
    <d v="2022-01-03T00:00:00"/>
    <s v="Monday"/>
    <x v="6"/>
    <x v="2"/>
    <x v="1"/>
    <x v="2"/>
    <x v="1"/>
    <x v="1"/>
    <x v="1"/>
    <n v="5"/>
    <n v="176.98"/>
    <x v="174"/>
    <x v="0"/>
  </r>
  <r>
    <d v="2022-08-06T00:00:00"/>
    <s v="Saturday"/>
    <x v="1"/>
    <x v="8"/>
    <x v="3"/>
    <x v="5"/>
    <x v="2"/>
    <x v="2"/>
    <x v="4"/>
    <n v="5"/>
    <n v="77.08"/>
    <x v="175"/>
    <x v="3"/>
  </r>
  <r>
    <d v="2022-03-06T00:00:00"/>
    <s v="Sunday"/>
    <x v="7"/>
    <x v="4"/>
    <x v="1"/>
    <x v="2"/>
    <x v="2"/>
    <x v="2"/>
    <x v="5"/>
    <n v="4"/>
    <n v="239.54"/>
    <x v="176"/>
    <x v="3"/>
  </r>
  <r>
    <d v="2022-03-19T00:00:00"/>
    <s v="Saturday"/>
    <x v="7"/>
    <x v="6"/>
    <x v="2"/>
    <x v="4"/>
    <x v="2"/>
    <x v="1"/>
    <x v="6"/>
    <n v="5"/>
    <n v="179.54"/>
    <x v="177"/>
    <x v="2"/>
  </r>
  <r>
    <d v="2022-04-05T00:00:00"/>
    <s v="Tuesday"/>
    <x v="2"/>
    <x v="5"/>
    <x v="2"/>
    <x v="3"/>
    <x v="1"/>
    <x v="1"/>
    <x v="5"/>
    <n v="3"/>
    <n v="274.23"/>
    <x v="178"/>
    <x v="1"/>
  </r>
  <r>
    <d v="2022-03-11T00:00:00"/>
    <s v="Friday"/>
    <x v="7"/>
    <x v="3"/>
    <x v="2"/>
    <x v="2"/>
    <x v="1"/>
    <x v="0"/>
    <x v="6"/>
    <n v="5"/>
    <n v="99.89"/>
    <x v="179"/>
    <x v="1"/>
  </r>
  <r>
    <d v="2022-04-03T00:00:00"/>
    <s v="Sunday"/>
    <x v="2"/>
    <x v="1"/>
    <x v="1"/>
    <x v="1"/>
    <x v="1"/>
    <x v="3"/>
    <x v="4"/>
    <n v="4"/>
    <n v="148.11000000000001"/>
    <x v="180"/>
    <x v="1"/>
  </r>
  <r>
    <d v="2022-06-30T00:00:00"/>
    <s v="Thursday"/>
    <x v="5"/>
    <x v="4"/>
    <x v="1"/>
    <x v="2"/>
    <x v="0"/>
    <x v="3"/>
    <x v="6"/>
    <n v="5"/>
    <n v="81.97"/>
    <x v="181"/>
    <x v="1"/>
  </r>
  <r>
    <d v="2022-01-09T00:00:00"/>
    <s v="Sunday"/>
    <x v="6"/>
    <x v="1"/>
    <x v="1"/>
    <x v="1"/>
    <x v="1"/>
    <x v="0"/>
    <x v="6"/>
    <n v="3"/>
    <n v="291.29000000000002"/>
    <x v="182"/>
    <x v="3"/>
  </r>
  <r>
    <d v="2022-05-02T00:00:00"/>
    <s v="Monday"/>
    <x v="0"/>
    <x v="7"/>
    <x v="1"/>
    <x v="1"/>
    <x v="2"/>
    <x v="1"/>
    <x v="5"/>
    <n v="5"/>
    <n v="138.94999999999999"/>
    <x v="183"/>
    <x v="2"/>
  </r>
  <r>
    <d v="2022-01-27T00:00:00"/>
    <s v="Thursday"/>
    <x v="6"/>
    <x v="7"/>
    <x v="1"/>
    <x v="1"/>
    <x v="2"/>
    <x v="1"/>
    <x v="0"/>
    <n v="4"/>
    <n v="208.19"/>
    <x v="184"/>
    <x v="3"/>
  </r>
  <r>
    <d v="2022-07-27T00:00:00"/>
    <s v="Wednesday"/>
    <x v="3"/>
    <x v="4"/>
    <x v="1"/>
    <x v="2"/>
    <x v="2"/>
    <x v="0"/>
    <x v="6"/>
    <n v="5"/>
    <n v="291.7"/>
    <x v="185"/>
    <x v="3"/>
  </r>
  <r>
    <d v="2022-06-10T00:00:00"/>
    <s v="Friday"/>
    <x v="5"/>
    <x v="0"/>
    <x v="0"/>
    <x v="0"/>
    <x v="1"/>
    <x v="3"/>
    <x v="3"/>
    <n v="3"/>
    <n v="209.89"/>
    <x v="186"/>
    <x v="2"/>
  </r>
  <r>
    <d v="2022-05-04T00:00:00"/>
    <s v="Wednesday"/>
    <x v="0"/>
    <x v="4"/>
    <x v="1"/>
    <x v="2"/>
    <x v="0"/>
    <x v="2"/>
    <x v="0"/>
    <n v="4"/>
    <n v="171.49"/>
    <x v="187"/>
    <x v="1"/>
  </r>
  <r>
    <d v="2022-01-17T00:00:00"/>
    <s v="Monday"/>
    <x v="6"/>
    <x v="3"/>
    <x v="2"/>
    <x v="2"/>
    <x v="2"/>
    <x v="2"/>
    <x v="2"/>
    <n v="3"/>
    <n v="156.22"/>
    <x v="188"/>
    <x v="3"/>
  </r>
  <r>
    <d v="2022-06-07T00:00:00"/>
    <s v="Tuesday"/>
    <x v="5"/>
    <x v="1"/>
    <x v="1"/>
    <x v="1"/>
    <x v="2"/>
    <x v="1"/>
    <x v="0"/>
    <n v="4"/>
    <n v="158.82"/>
    <x v="189"/>
    <x v="2"/>
  </r>
  <r>
    <d v="2022-07-12T00:00:00"/>
    <s v="Tuesday"/>
    <x v="3"/>
    <x v="5"/>
    <x v="2"/>
    <x v="3"/>
    <x v="2"/>
    <x v="3"/>
    <x v="4"/>
    <n v="3"/>
    <n v="218.91"/>
    <x v="190"/>
    <x v="3"/>
  </r>
  <r>
    <d v="2022-07-27T00:00:00"/>
    <s v="Wednesday"/>
    <x v="3"/>
    <x v="6"/>
    <x v="2"/>
    <x v="4"/>
    <x v="1"/>
    <x v="0"/>
    <x v="3"/>
    <n v="5"/>
    <n v="54.88"/>
    <x v="191"/>
    <x v="3"/>
  </r>
  <r>
    <d v="2022-05-08T00:00:00"/>
    <s v="Sunday"/>
    <x v="0"/>
    <x v="8"/>
    <x v="3"/>
    <x v="5"/>
    <x v="1"/>
    <x v="3"/>
    <x v="5"/>
    <n v="1"/>
    <n v="75.27"/>
    <x v="192"/>
    <x v="0"/>
  </r>
  <r>
    <d v="2022-06-12T00:00:00"/>
    <s v="Sunday"/>
    <x v="5"/>
    <x v="9"/>
    <x v="4"/>
    <x v="6"/>
    <x v="2"/>
    <x v="0"/>
    <x v="6"/>
    <n v="1"/>
    <n v="144.04"/>
    <x v="193"/>
    <x v="1"/>
  </r>
  <r>
    <d v="2022-07-26T00:00:00"/>
    <s v="Tuesday"/>
    <x v="3"/>
    <x v="4"/>
    <x v="1"/>
    <x v="2"/>
    <x v="2"/>
    <x v="1"/>
    <x v="2"/>
    <n v="4"/>
    <n v="196.45"/>
    <x v="194"/>
    <x v="2"/>
  </r>
  <r>
    <d v="2022-01-17T00:00:00"/>
    <s v="Monday"/>
    <x v="6"/>
    <x v="2"/>
    <x v="1"/>
    <x v="2"/>
    <x v="2"/>
    <x v="0"/>
    <x v="1"/>
    <n v="3"/>
    <n v="213.66"/>
    <x v="195"/>
    <x v="0"/>
  </r>
  <r>
    <d v="2022-08-16T00:00:00"/>
    <s v="Tuesday"/>
    <x v="1"/>
    <x v="1"/>
    <x v="1"/>
    <x v="1"/>
    <x v="2"/>
    <x v="1"/>
    <x v="4"/>
    <n v="1"/>
    <n v="164.57"/>
    <x v="196"/>
    <x v="1"/>
  </r>
  <r>
    <d v="2022-04-13T00:00:00"/>
    <s v="Wednesday"/>
    <x v="2"/>
    <x v="4"/>
    <x v="1"/>
    <x v="2"/>
    <x v="2"/>
    <x v="2"/>
    <x v="5"/>
    <n v="4"/>
    <n v="203.25"/>
    <x v="197"/>
    <x v="3"/>
  </r>
  <r>
    <d v="2022-05-13T00:00:00"/>
    <s v="Friday"/>
    <x v="0"/>
    <x v="5"/>
    <x v="2"/>
    <x v="3"/>
    <x v="1"/>
    <x v="3"/>
    <x v="4"/>
    <n v="5"/>
    <n v="91.11"/>
    <x v="198"/>
    <x v="1"/>
  </r>
  <r>
    <d v="2022-02-17T00:00:00"/>
    <s v="Thursday"/>
    <x v="4"/>
    <x v="5"/>
    <x v="2"/>
    <x v="3"/>
    <x v="0"/>
    <x v="1"/>
    <x v="1"/>
    <n v="3"/>
    <n v="57.92"/>
    <x v="199"/>
    <x v="1"/>
  </r>
  <r>
    <d v="2022-07-31T00:00:00"/>
    <s v="Sunday"/>
    <x v="3"/>
    <x v="4"/>
    <x v="1"/>
    <x v="2"/>
    <x v="1"/>
    <x v="0"/>
    <x v="0"/>
    <n v="3"/>
    <n v="209.3"/>
    <x v="200"/>
    <x v="3"/>
  </r>
  <r>
    <d v="2022-08-25T00:00:00"/>
    <s v="Thursday"/>
    <x v="1"/>
    <x v="7"/>
    <x v="1"/>
    <x v="1"/>
    <x v="0"/>
    <x v="2"/>
    <x v="2"/>
    <n v="1"/>
    <n v="112.26"/>
    <x v="201"/>
    <x v="2"/>
  </r>
  <r>
    <d v="2022-08-30T00:00:00"/>
    <s v="Tuesday"/>
    <x v="1"/>
    <x v="2"/>
    <x v="1"/>
    <x v="2"/>
    <x v="1"/>
    <x v="0"/>
    <x v="5"/>
    <n v="2"/>
    <n v="216.83"/>
    <x v="202"/>
    <x v="2"/>
  </r>
  <r>
    <d v="2022-07-21T00:00:00"/>
    <s v="Thursday"/>
    <x v="3"/>
    <x v="9"/>
    <x v="4"/>
    <x v="6"/>
    <x v="0"/>
    <x v="0"/>
    <x v="5"/>
    <n v="5"/>
    <n v="68.52"/>
    <x v="203"/>
    <x v="2"/>
  </r>
  <r>
    <d v="2022-08-02T00:00:00"/>
    <s v="Tuesday"/>
    <x v="1"/>
    <x v="6"/>
    <x v="2"/>
    <x v="4"/>
    <x v="2"/>
    <x v="2"/>
    <x v="5"/>
    <n v="1"/>
    <n v="98.04"/>
    <x v="204"/>
    <x v="1"/>
  </r>
  <r>
    <d v="2022-06-30T00:00:00"/>
    <s v="Thursday"/>
    <x v="5"/>
    <x v="0"/>
    <x v="0"/>
    <x v="0"/>
    <x v="2"/>
    <x v="2"/>
    <x v="6"/>
    <n v="5"/>
    <n v="204.35"/>
    <x v="205"/>
    <x v="3"/>
  </r>
  <r>
    <d v="2022-04-10T00:00:00"/>
    <s v="Sunday"/>
    <x v="2"/>
    <x v="2"/>
    <x v="1"/>
    <x v="2"/>
    <x v="1"/>
    <x v="1"/>
    <x v="2"/>
    <n v="4"/>
    <n v="283.7"/>
    <x v="206"/>
    <x v="0"/>
  </r>
  <r>
    <d v="2022-07-03T00:00:00"/>
    <s v="Sunday"/>
    <x v="3"/>
    <x v="5"/>
    <x v="2"/>
    <x v="3"/>
    <x v="1"/>
    <x v="0"/>
    <x v="6"/>
    <n v="4"/>
    <n v="172.52"/>
    <x v="207"/>
    <x v="2"/>
  </r>
  <r>
    <d v="2022-02-26T00:00:00"/>
    <s v="Saturday"/>
    <x v="4"/>
    <x v="4"/>
    <x v="1"/>
    <x v="2"/>
    <x v="2"/>
    <x v="0"/>
    <x v="1"/>
    <n v="3"/>
    <n v="51.81"/>
    <x v="208"/>
    <x v="3"/>
  </r>
  <r>
    <d v="2022-04-29T00:00:00"/>
    <s v="Friday"/>
    <x v="2"/>
    <x v="3"/>
    <x v="2"/>
    <x v="2"/>
    <x v="2"/>
    <x v="3"/>
    <x v="0"/>
    <n v="5"/>
    <n v="71.28"/>
    <x v="209"/>
    <x v="1"/>
  </r>
  <r>
    <d v="2022-02-24T00:00:00"/>
    <s v="Thursday"/>
    <x v="4"/>
    <x v="1"/>
    <x v="1"/>
    <x v="1"/>
    <x v="0"/>
    <x v="3"/>
    <x v="5"/>
    <n v="2"/>
    <n v="248.44"/>
    <x v="210"/>
    <x v="1"/>
  </r>
  <r>
    <d v="2022-07-03T00:00:00"/>
    <s v="Sunday"/>
    <x v="3"/>
    <x v="1"/>
    <x v="1"/>
    <x v="1"/>
    <x v="1"/>
    <x v="3"/>
    <x v="6"/>
    <n v="2"/>
    <n v="107.04"/>
    <x v="211"/>
    <x v="0"/>
  </r>
  <r>
    <d v="2022-08-30T00:00:00"/>
    <s v="Tuesday"/>
    <x v="1"/>
    <x v="9"/>
    <x v="4"/>
    <x v="6"/>
    <x v="1"/>
    <x v="3"/>
    <x v="3"/>
    <n v="1"/>
    <n v="132.07"/>
    <x v="212"/>
    <x v="3"/>
  </r>
  <r>
    <d v="2022-07-09T00:00:00"/>
    <s v="Saturday"/>
    <x v="3"/>
    <x v="2"/>
    <x v="1"/>
    <x v="2"/>
    <x v="2"/>
    <x v="2"/>
    <x v="0"/>
    <n v="3"/>
    <n v="118.37"/>
    <x v="213"/>
    <x v="0"/>
  </r>
  <r>
    <d v="2022-04-18T00:00:00"/>
    <s v="Monday"/>
    <x v="2"/>
    <x v="3"/>
    <x v="2"/>
    <x v="2"/>
    <x v="1"/>
    <x v="1"/>
    <x v="2"/>
    <n v="5"/>
    <n v="243.74"/>
    <x v="214"/>
    <x v="3"/>
  </r>
  <r>
    <d v="2022-01-16T00:00:00"/>
    <s v="Sunday"/>
    <x v="6"/>
    <x v="2"/>
    <x v="1"/>
    <x v="2"/>
    <x v="0"/>
    <x v="0"/>
    <x v="0"/>
    <n v="5"/>
    <n v="150.02000000000001"/>
    <x v="215"/>
    <x v="1"/>
  </r>
  <r>
    <d v="2022-04-02T00:00:00"/>
    <s v="Saturday"/>
    <x v="2"/>
    <x v="3"/>
    <x v="2"/>
    <x v="2"/>
    <x v="1"/>
    <x v="1"/>
    <x v="3"/>
    <n v="3"/>
    <n v="73.31"/>
    <x v="216"/>
    <x v="3"/>
  </r>
  <r>
    <d v="2022-08-25T00:00:00"/>
    <s v="Thursday"/>
    <x v="1"/>
    <x v="9"/>
    <x v="4"/>
    <x v="6"/>
    <x v="2"/>
    <x v="2"/>
    <x v="3"/>
    <n v="2"/>
    <n v="176.24"/>
    <x v="217"/>
    <x v="1"/>
  </r>
  <r>
    <d v="2022-05-27T00:00:00"/>
    <s v="Friday"/>
    <x v="0"/>
    <x v="7"/>
    <x v="1"/>
    <x v="1"/>
    <x v="1"/>
    <x v="3"/>
    <x v="4"/>
    <n v="5"/>
    <n v="135.5"/>
    <x v="218"/>
    <x v="2"/>
  </r>
  <r>
    <d v="2022-08-18T00:00:00"/>
    <s v="Thursday"/>
    <x v="1"/>
    <x v="0"/>
    <x v="0"/>
    <x v="0"/>
    <x v="2"/>
    <x v="3"/>
    <x v="5"/>
    <n v="4"/>
    <n v="250.12"/>
    <x v="219"/>
    <x v="0"/>
  </r>
  <r>
    <d v="2022-07-03T00:00:00"/>
    <s v="Sunday"/>
    <x v="3"/>
    <x v="1"/>
    <x v="1"/>
    <x v="1"/>
    <x v="1"/>
    <x v="2"/>
    <x v="3"/>
    <n v="4"/>
    <n v="145.88999999999999"/>
    <x v="220"/>
    <x v="0"/>
  </r>
  <r>
    <d v="2022-05-07T00:00:00"/>
    <s v="Saturday"/>
    <x v="0"/>
    <x v="3"/>
    <x v="2"/>
    <x v="2"/>
    <x v="0"/>
    <x v="2"/>
    <x v="1"/>
    <n v="4"/>
    <n v="281.54000000000002"/>
    <x v="221"/>
    <x v="3"/>
  </r>
  <r>
    <d v="2022-06-25T00:00:00"/>
    <s v="Saturday"/>
    <x v="5"/>
    <x v="4"/>
    <x v="1"/>
    <x v="2"/>
    <x v="0"/>
    <x v="2"/>
    <x v="3"/>
    <n v="4"/>
    <n v="121.42"/>
    <x v="222"/>
    <x v="0"/>
  </r>
  <r>
    <d v="2022-06-03T00:00:00"/>
    <s v="Friday"/>
    <x v="5"/>
    <x v="4"/>
    <x v="1"/>
    <x v="2"/>
    <x v="1"/>
    <x v="1"/>
    <x v="6"/>
    <n v="4"/>
    <n v="265.91000000000003"/>
    <x v="223"/>
    <x v="2"/>
  </r>
  <r>
    <d v="2022-01-25T00:00:00"/>
    <s v="Tuesday"/>
    <x v="6"/>
    <x v="0"/>
    <x v="0"/>
    <x v="0"/>
    <x v="1"/>
    <x v="0"/>
    <x v="2"/>
    <n v="1"/>
    <n v="240.42"/>
    <x v="224"/>
    <x v="0"/>
  </r>
  <r>
    <d v="2022-01-08T00:00:00"/>
    <s v="Saturday"/>
    <x v="6"/>
    <x v="7"/>
    <x v="1"/>
    <x v="1"/>
    <x v="1"/>
    <x v="3"/>
    <x v="1"/>
    <n v="5"/>
    <n v="275.27"/>
    <x v="225"/>
    <x v="0"/>
  </r>
  <r>
    <d v="2022-08-09T00:00:00"/>
    <s v="Tuesday"/>
    <x v="1"/>
    <x v="6"/>
    <x v="2"/>
    <x v="4"/>
    <x v="1"/>
    <x v="1"/>
    <x v="6"/>
    <n v="3"/>
    <n v="154.79"/>
    <x v="226"/>
    <x v="0"/>
  </r>
  <r>
    <d v="2022-08-13T00:00:00"/>
    <s v="Saturday"/>
    <x v="1"/>
    <x v="6"/>
    <x v="2"/>
    <x v="4"/>
    <x v="0"/>
    <x v="3"/>
    <x v="6"/>
    <n v="5"/>
    <n v="139"/>
    <x v="227"/>
    <x v="2"/>
  </r>
  <r>
    <d v="2022-06-21T00:00:00"/>
    <s v="Tuesday"/>
    <x v="5"/>
    <x v="3"/>
    <x v="2"/>
    <x v="2"/>
    <x v="0"/>
    <x v="1"/>
    <x v="3"/>
    <n v="3"/>
    <n v="79.27"/>
    <x v="228"/>
    <x v="0"/>
  </r>
  <r>
    <d v="2022-08-23T00:00:00"/>
    <s v="Tuesday"/>
    <x v="1"/>
    <x v="5"/>
    <x v="2"/>
    <x v="3"/>
    <x v="2"/>
    <x v="2"/>
    <x v="5"/>
    <n v="2"/>
    <n v="237.1"/>
    <x v="229"/>
    <x v="1"/>
  </r>
  <r>
    <d v="2022-01-29T00:00:00"/>
    <s v="Saturday"/>
    <x v="6"/>
    <x v="5"/>
    <x v="2"/>
    <x v="3"/>
    <x v="2"/>
    <x v="2"/>
    <x v="4"/>
    <n v="4"/>
    <n v="228.46"/>
    <x v="230"/>
    <x v="1"/>
  </r>
  <r>
    <d v="2022-06-12T00:00:00"/>
    <s v="Sunday"/>
    <x v="5"/>
    <x v="6"/>
    <x v="2"/>
    <x v="4"/>
    <x v="2"/>
    <x v="3"/>
    <x v="5"/>
    <n v="4"/>
    <n v="52.42"/>
    <x v="231"/>
    <x v="3"/>
  </r>
  <r>
    <d v="2022-08-26T00:00:00"/>
    <s v="Friday"/>
    <x v="1"/>
    <x v="2"/>
    <x v="1"/>
    <x v="2"/>
    <x v="2"/>
    <x v="0"/>
    <x v="0"/>
    <n v="3"/>
    <n v="270.52"/>
    <x v="232"/>
    <x v="2"/>
  </r>
  <r>
    <d v="2022-01-08T00:00:00"/>
    <s v="Saturday"/>
    <x v="6"/>
    <x v="4"/>
    <x v="1"/>
    <x v="2"/>
    <x v="0"/>
    <x v="0"/>
    <x v="4"/>
    <n v="4"/>
    <n v="119.36"/>
    <x v="233"/>
    <x v="1"/>
  </r>
  <r>
    <d v="2022-01-23T00:00:00"/>
    <s v="Sunday"/>
    <x v="6"/>
    <x v="8"/>
    <x v="3"/>
    <x v="5"/>
    <x v="1"/>
    <x v="0"/>
    <x v="4"/>
    <n v="3"/>
    <n v="125.26"/>
    <x v="234"/>
    <x v="3"/>
  </r>
  <r>
    <d v="2022-06-02T00:00:00"/>
    <s v="Thursday"/>
    <x v="5"/>
    <x v="5"/>
    <x v="2"/>
    <x v="3"/>
    <x v="1"/>
    <x v="2"/>
    <x v="5"/>
    <n v="3"/>
    <n v="296.55"/>
    <x v="235"/>
    <x v="0"/>
  </r>
  <r>
    <d v="2022-06-13T00:00:00"/>
    <s v="Monday"/>
    <x v="5"/>
    <x v="9"/>
    <x v="4"/>
    <x v="6"/>
    <x v="1"/>
    <x v="2"/>
    <x v="4"/>
    <n v="1"/>
    <n v="56.73"/>
    <x v="236"/>
    <x v="3"/>
  </r>
  <r>
    <d v="2022-01-18T00:00:00"/>
    <s v="Tuesday"/>
    <x v="6"/>
    <x v="6"/>
    <x v="2"/>
    <x v="4"/>
    <x v="0"/>
    <x v="2"/>
    <x v="4"/>
    <n v="1"/>
    <n v="91.56"/>
    <x v="237"/>
    <x v="2"/>
  </r>
  <r>
    <d v="2022-04-11T00:00:00"/>
    <s v="Monday"/>
    <x v="2"/>
    <x v="8"/>
    <x v="3"/>
    <x v="5"/>
    <x v="1"/>
    <x v="1"/>
    <x v="1"/>
    <n v="2"/>
    <n v="152.54"/>
    <x v="238"/>
    <x v="0"/>
  </r>
  <r>
    <d v="2022-07-04T00:00:00"/>
    <s v="Monday"/>
    <x v="3"/>
    <x v="8"/>
    <x v="3"/>
    <x v="5"/>
    <x v="1"/>
    <x v="2"/>
    <x v="3"/>
    <n v="4"/>
    <n v="61.37"/>
    <x v="239"/>
    <x v="1"/>
  </r>
  <r>
    <d v="2022-03-07T00:00:00"/>
    <s v="Monday"/>
    <x v="7"/>
    <x v="5"/>
    <x v="2"/>
    <x v="3"/>
    <x v="2"/>
    <x v="1"/>
    <x v="0"/>
    <n v="3"/>
    <n v="162.36000000000001"/>
    <x v="240"/>
    <x v="3"/>
  </r>
  <r>
    <d v="2022-06-29T00:00:00"/>
    <s v="Wednesday"/>
    <x v="5"/>
    <x v="6"/>
    <x v="2"/>
    <x v="4"/>
    <x v="2"/>
    <x v="1"/>
    <x v="1"/>
    <n v="2"/>
    <n v="257.5"/>
    <x v="241"/>
    <x v="2"/>
  </r>
  <r>
    <d v="2022-05-21T00:00:00"/>
    <s v="Saturday"/>
    <x v="0"/>
    <x v="2"/>
    <x v="1"/>
    <x v="2"/>
    <x v="1"/>
    <x v="2"/>
    <x v="2"/>
    <n v="4"/>
    <n v="202.28"/>
    <x v="242"/>
    <x v="0"/>
  </r>
  <r>
    <d v="2022-07-07T00:00:00"/>
    <s v="Thursday"/>
    <x v="3"/>
    <x v="8"/>
    <x v="3"/>
    <x v="5"/>
    <x v="0"/>
    <x v="2"/>
    <x v="6"/>
    <n v="1"/>
    <n v="224.83"/>
    <x v="243"/>
    <x v="1"/>
  </r>
  <r>
    <d v="2022-04-02T00:00:00"/>
    <s v="Saturday"/>
    <x v="2"/>
    <x v="9"/>
    <x v="4"/>
    <x v="6"/>
    <x v="2"/>
    <x v="1"/>
    <x v="5"/>
    <n v="3"/>
    <n v="256.27"/>
    <x v="244"/>
    <x v="1"/>
  </r>
  <r>
    <d v="2022-03-26T00:00:00"/>
    <s v="Saturday"/>
    <x v="7"/>
    <x v="1"/>
    <x v="1"/>
    <x v="1"/>
    <x v="1"/>
    <x v="0"/>
    <x v="4"/>
    <n v="2"/>
    <n v="277.26"/>
    <x v="245"/>
    <x v="2"/>
  </r>
  <r>
    <d v="2022-07-04T00:00:00"/>
    <s v="Monday"/>
    <x v="3"/>
    <x v="9"/>
    <x v="4"/>
    <x v="6"/>
    <x v="0"/>
    <x v="1"/>
    <x v="5"/>
    <n v="3"/>
    <n v="271.19"/>
    <x v="246"/>
    <x v="1"/>
  </r>
  <r>
    <d v="2022-01-12T00:00:00"/>
    <s v="Wednesday"/>
    <x v="6"/>
    <x v="5"/>
    <x v="2"/>
    <x v="3"/>
    <x v="2"/>
    <x v="1"/>
    <x v="5"/>
    <n v="3"/>
    <n v="205.62"/>
    <x v="247"/>
    <x v="3"/>
  </r>
  <r>
    <d v="2022-08-01T00:00:00"/>
    <s v="Monday"/>
    <x v="1"/>
    <x v="4"/>
    <x v="1"/>
    <x v="2"/>
    <x v="2"/>
    <x v="1"/>
    <x v="1"/>
    <n v="4"/>
    <n v="130.97"/>
    <x v="248"/>
    <x v="0"/>
  </r>
  <r>
    <d v="2022-03-26T00:00:00"/>
    <s v="Saturday"/>
    <x v="7"/>
    <x v="0"/>
    <x v="0"/>
    <x v="0"/>
    <x v="2"/>
    <x v="1"/>
    <x v="5"/>
    <n v="5"/>
    <n v="267.70999999999998"/>
    <x v="249"/>
    <x v="1"/>
  </r>
  <r>
    <d v="2022-01-04T00:00:00"/>
    <s v="Tuesday"/>
    <x v="6"/>
    <x v="2"/>
    <x v="1"/>
    <x v="2"/>
    <x v="2"/>
    <x v="3"/>
    <x v="1"/>
    <n v="4"/>
    <n v="151.37"/>
    <x v="250"/>
    <x v="2"/>
  </r>
  <r>
    <d v="2022-03-07T00:00:00"/>
    <s v="Monday"/>
    <x v="7"/>
    <x v="5"/>
    <x v="2"/>
    <x v="3"/>
    <x v="2"/>
    <x v="3"/>
    <x v="5"/>
    <n v="5"/>
    <n v="89.84"/>
    <x v="251"/>
    <x v="3"/>
  </r>
  <r>
    <d v="2022-04-25T00:00:00"/>
    <s v="Monday"/>
    <x v="2"/>
    <x v="9"/>
    <x v="4"/>
    <x v="6"/>
    <x v="2"/>
    <x v="1"/>
    <x v="5"/>
    <n v="1"/>
    <n v="276.64"/>
    <x v="252"/>
    <x v="0"/>
  </r>
  <r>
    <d v="2022-03-15T00:00:00"/>
    <s v="Tuesday"/>
    <x v="7"/>
    <x v="9"/>
    <x v="4"/>
    <x v="6"/>
    <x v="0"/>
    <x v="0"/>
    <x v="6"/>
    <n v="3"/>
    <n v="203.41"/>
    <x v="253"/>
    <x v="0"/>
  </r>
  <r>
    <d v="2022-08-10T00:00:00"/>
    <s v="Wednesday"/>
    <x v="1"/>
    <x v="3"/>
    <x v="2"/>
    <x v="2"/>
    <x v="2"/>
    <x v="0"/>
    <x v="4"/>
    <n v="2"/>
    <n v="195.85"/>
    <x v="254"/>
    <x v="3"/>
  </r>
  <r>
    <d v="2022-08-04T00:00:00"/>
    <s v="Thursday"/>
    <x v="1"/>
    <x v="9"/>
    <x v="4"/>
    <x v="6"/>
    <x v="2"/>
    <x v="3"/>
    <x v="3"/>
    <n v="2"/>
    <n v="288.87"/>
    <x v="255"/>
    <x v="2"/>
  </r>
  <r>
    <d v="2022-05-11T00:00:00"/>
    <s v="Wednesday"/>
    <x v="0"/>
    <x v="3"/>
    <x v="2"/>
    <x v="2"/>
    <x v="2"/>
    <x v="3"/>
    <x v="3"/>
    <n v="1"/>
    <n v="65.45"/>
    <x v="256"/>
    <x v="1"/>
  </r>
  <r>
    <d v="2022-01-01T00:00:00"/>
    <s v="Saturday"/>
    <x v="6"/>
    <x v="1"/>
    <x v="1"/>
    <x v="1"/>
    <x v="0"/>
    <x v="2"/>
    <x v="1"/>
    <n v="1"/>
    <n v="202.42"/>
    <x v="257"/>
    <x v="3"/>
  </r>
  <r>
    <d v="2022-03-05T00:00:00"/>
    <s v="Saturday"/>
    <x v="7"/>
    <x v="3"/>
    <x v="2"/>
    <x v="2"/>
    <x v="2"/>
    <x v="1"/>
    <x v="3"/>
    <n v="2"/>
    <n v="51.11"/>
    <x v="258"/>
    <x v="1"/>
  </r>
  <r>
    <d v="2022-07-24T00:00:00"/>
    <s v="Sunday"/>
    <x v="3"/>
    <x v="8"/>
    <x v="3"/>
    <x v="5"/>
    <x v="2"/>
    <x v="0"/>
    <x v="0"/>
    <n v="1"/>
    <n v="292.68"/>
    <x v="259"/>
    <x v="2"/>
  </r>
  <r>
    <d v="2022-08-10T00:00:00"/>
    <s v="Wednesday"/>
    <x v="1"/>
    <x v="9"/>
    <x v="4"/>
    <x v="6"/>
    <x v="1"/>
    <x v="2"/>
    <x v="1"/>
    <n v="2"/>
    <n v="175.51"/>
    <x v="260"/>
    <x v="2"/>
  </r>
  <r>
    <d v="2022-03-13T00:00:00"/>
    <s v="Sunday"/>
    <x v="7"/>
    <x v="1"/>
    <x v="1"/>
    <x v="1"/>
    <x v="1"/>
    <x v="3"/>
    <x v="2"/>
    <n v="4"/>
    <n v="211.37"/>
    <x v="261"/>
    <x v="0"/>
  </r>
  <r>
    <d v="2022-03-23T00:00:00"/>
    <s v="Wednesday"/>
    <x v="7"/>
    <x v="3"/>
    <x v="2"/>
    <x v="2"/>
    <x v="0"/>
    <x v="2"/>
    <x v="2"/>
    <n v="1"/>
    <n v="209.78"/>
    <x v="262"/>
    <x v="2"/>
  </r>
  <r>
    <d v="2022-05-12T00:00:00"/>
    <s v="Thursday"/>
    <x v="0"/>
    <x v="2"/>
    <x v="1"/>
    <x v="2"/>
    <x v="0"/>
    <x v="2"/>
    <x v="6"/>
    <n v="1"/>
    <n v="59.85"/>
    <x v="263"/>
    <x v="3"/>
  </r>
  <r>
    <d v="2022-07-17T00:00:00"/>
    <s v="Sunday"/>
    <x v="3"/>
    <x v="2"/>
    <x v="1"/>
    <x v="2"/>
    <x v="0"/>
    <x v="1"/>
    <x v="5"/>
    <n v="3"/>
    <n v="156.27000000000001"/>
    <x v="264"/>
    <x v="2"/>
  </r>
  <r>
    <d v="2022-03-08T00:00:00"/>
    <s v="Tuesday"/>
    <x v="7"/>
    <x v="1"/>
    <x v="1"/>
    <x v="1"/>
    <x v="0"/>
    <x v="0"/>
    <x v="3"/>
    <n v="2"/>
    <n v="175"/>
    <x v="265"/>
    <x v="0"/>
  </r>
  <r>
    <d v="2022-08-05T00:00:00"/>
    <s v="Friday"/>
    <x v="1"/>
    <x v="5"/>
    <x v="2"/>
    <x v="3"/>
    <x v="2"/>
    <x v="2"/>
    <x v="4"/>
    <n v="2"/>
    <n v="88"/>
    <x v="266"/>
    <x v="3"/>
  </r>
  <r>
    <d v="2022-07-02T00:00:00"/>
    <s v="Saturday"/>
    <x v="3"/>
    <x v="2"/>
    <x v="1"/>
    <x v="2"/>
    <x v="2"/>
    <x v="2"/>
    <x v="4"/>
    <n v="4"/>
    <n v="293.33"/>
    <x v="267"/>
    <x v="0"/>
  </r>
  <r>
    <d v="2022-07-17T00:00:00"/>
    <s v="Sunday"/>
    <x v="3"/>
    <x v="2"/>
    <x v="1"/>
    <x v="2"/>
    <x v="0"/>
    <x v="0"/>
    <x v="2"/>
    <n v="5"/>
    <n v="285.37"/>
    <x v="268"/>
    <x v="2"/>
  </r>
  <r>
    <d v="2022-01-15T00:00:00"/>
    <s v="Saturday"/>
    <x v="6"/>
    <x v="5"/>
    <x v="2"/>
    <x v="3"/>
    <x v="1"/>
    <x v="3"/>
    <x v="1"/>
    <n v="5"/>
    <n v="220.59"/>
    <x v="269"/>
    <x v="3"/>
  </r>
  <r>
    <d v="2022-03-03T00:00:00"/>
    <s v="Thursday"/>
    <x v="7"/>
    <x v="2"/>
    <x v="1"/>
    <x v="2"/>
    <x v="2"/>
    <x v="1"/>
    <x v="3"/>
    <n v="5"/>
    <n v="214"/>
    <x v="270"/>
    <x v="3"/>
  </r>
  <r>
    <d v="2022-08-18T00:00:00"/>
    <s v="Thursday"/>
    <x v="1"/>
    <x v="1"/>
    <x v="1"/>
    <x v="1"/>
    <x v="0"/>
    <x v="0"/>
    <x v="2"/>
    <n v="5"/>
    <n v="208.24"/>
    <x v="271"/>
    <x v="0"/>
  </r>
  <r>
    <d v="2022-06-07T00:00:00"/>
    <s v="Tuesday"/>
    <x v="5"/>
    <x v="6"/>
    <x v="2"/>
    <x v="4"/>
    <x v="0"/>
    <x v="2"/>
    <x v="2"/>
    <n v="4"/>
    <n v="133.69999999999999"/>
    <x v="272"/>
    <x v="2"/>
  </r>
  <r>
    <d v="2022-08-24T00:00:00"/>
    <s v="Wednesday"/>
    <x v="1"/>
    <x v="0"/>
    <x v="0"/>
    <x v="0"/>
    <x v="2"/>
    <x v="2"/>
    <x v="6"/>
    <n v="2"/>
    <n v="158.69999999999999"/>
    <x v="273"/>
    <x v="3"/>
  </r>
  <r>
    <d v="2022-01-19T00:00:00"/>
    <s v="Wednesday"/>
    <x v="6"/>
    <x v="3"/>
    <x v="2"/>
    <x v="2"/>
    <x v="1"/>
    <x v="1"/>
    <x v="4"/>
    <n v="2"/>
    <n v="244.13"/>
    <x v="274"/>
    <x v="1"/>
  </r>
  <r>
    <d v="2022-08-19T00:00:00"/>
    <s v="Friday"/>
    <x v="1"/>
    <x v="3"/>
    <x v="2"/>
    <x v="2"/>
    <x v="1"/>
    <x v="2"/>
    <x v="3"/>
    <n v="5"/>
    <n v="147.99"/>
    <x v="275"/>
    <x v="2"/>
  </r>
  <r>
    <d v="2022-08-11T00:00:00"/>
    <s v="Thursday"/>
    <x v="1"/>
    <x v="0"/>
    <x v="0"/>
    <x v="0"/>
    <x v="0"/>
    <x v="2"/>
    <x v="0"/>
    <n v="1"/>
    <n v="157.81"/>
    <x v="276"/>
    <x v="1"/>
  </r>
  <r>
    <d v="2022-03-24T00:00:00"/>
    <s v="Thursday"/>
    <x v="7"/>
    <x v="9"/>
    <x v="4"/>
    <x v="6"/>
    <x v="0"/>
    <x v="1"/>
    <x v="2"/>
    <n v="2"/>
    <n v="212.76"/>
    <x v="277"/>
    <x v="3"/>
  </r>
  <r>
    <d v="2022-01-17T00:00:00"/>
    <s v="Monday"/>
    <x v="6"/>
    <x v="7"/>
    <x v="1"/>
    <x v="1"/>
    <x v="1"/>
    <x v="2"/>
    <x v="3"/>
    <n v="3"/>
    <n v="225.9"/>
    <x v="278"/>
    <x v="3"/>
  </r>
  <r>
    <d v="2022-02-09T00:00:00"/>
    <s v="Wednesday"/>
    <x v="4"/>
    <x v="8"/>
    <x v="3"/>
    <x v="5"/>
    <x v="2"/>
    <x v="1"/>
    <x v="5"/>
    <n v="3"/>
    <n v="112.98"/>
    <x v="279"/>
    <x v="3"/>
  </r>
  <r>
    <d v="2022-05-13T00:00:00"/>
    <s v="Friday"/>
    <x v="0"/>
    <x v="8"/>
    <x v="3"/>
    <x v="5"/>
    <x v="0"/>
    <x v="2"/>
    <x v="5"/>
    <n v="2"/>
    <n v="100.84"/>
    <x v="280"/>
    <x v="1"/>
  </r>
  <r>
    <d v="2022-02-03T00:00:00"/>
    <s v="Thursday"/>
    <x v="4"/>
    <x v="4"/>
    <x v="1"/>
    <x v="2"/>
    <x v="1"/>
    <x v="2"/>
    <x v="5"/>
    <n v="4"/>
    <n v="292.75"/>
    <x v="281"/>
    <x v="3"/>
  </r>
  <r>
    <d v="2022-02-08T00:00:00"/>
    <s v="Tuesday"/>
    <x v="4"/>
    <x v="3"/>
    <x v="2"/>
    <x v="2"/>
    <x v="2"/>
    <x v="1"/>
    <x v="4"/>
    <n v="3"/>
    <n v="82.62"/>
    <x v="282"/>
    <x v="1"/>
  </r>
  <r>
    <d v="2022-07-18T00:00:00"/>
    <s v="Monday"/>
    <x v="3"/>
    <x v="5"/>
    <x v="2"/>
    <x v="3"/>
    <x v="2"/>
    <x v="3"/>
    <x v="3"/>
    <n v="3"/>
    <n v="246.13"/>
    <x v="283"/>
    <x v="2"/>
  </r>
  <r>
    <d v="2022-04-29T00:00:00"/>
    <s v="Friday"/>
    <x v="2"/>
    <x v="2"/>
    <x v="1"/>
    <x v="2"/>
    <x v="2"/>
    <x v="1"/>
    <x v="2"/>
    <n v="4"/>
    <n v="168.01"/>
    <x v="284"/>
    <x v="3"/>
  </r>
  <r>
    <d v="2022-08-26T00:00:00"/>
    <s v="Friday"/>
    <x v="1"/>
    <x v="7"/>
    <x v="1"/>
    <x v="1"/>
    <x v="2"/>
    <x v="3"/>
    <x v="0"/>
    <n v="1"/>
    <n v="93.08"/>
    <x v="285"/>
    <x v="3"/>
  </r>
  <r>
    <d v="2022-01-14T00:00:00"/>
    <s v="Friday"/>
    <x v="6"/>
    <x v="5"/>
    <x v="2"/>
    <x v="3"/>
    <x v="1"/>
    <x v="0"/>
    <x v="3"/>
    <n v="3"/>
    <n v="161.55000000000001"/>
    <x v="286"/>
    <x v="2"/>
  </r>
  <r>
    <d v="2022-02-25T00:00:00"/>
    <s v="Friday"/>
    <x v="4"/>
    <x v="8"/>
    <x v="3"/>
    <x v="5"/>
    <x v="2"/>
    <x v="2"/>
    <x v="2"/>
    <n v="3"/>
    <n v="228.84"/>
    <x v="287"/>
    <x v="2"/>
  </r>
  <r>
    <d v="2022-05-23T00:00:00"/>
    <s v="Monday"/>
    <x v="0"/>
    <x v="5"/>
    <x v="2"/>
    <x v="3"/>
    <x v="1"/>
    <x v="3"/>
    <x v="1"/>
    <n v="4"/>
    <n v="221.31"/>
    <x v="288"/>
    <x v="0"/>
  </r>
  <r>
    <d v="2022-07-26T00:00:00"/>
    <s v="Tuesday"/>
    <x v="3"/>
    <x v="8"/>
    <x v="3"/>
    <x v="5"/>
    <x v="1"/>
    <x v="3"/>
    <x v="4"/>
    <n v="2"/>
    <n v="287.68"/>
    <x v="289"/>
    <x v="1"/>
  </r>
  <r>
    <d v="2022-01-16T00:00:00"/>
    <s v="Sunday"/>
    <x v="6"/>
    <x v="2"/>
    <x v="1"/>
    <x v="2"/>
    <x v="1"/>
    <x v="0"/>
    <x v="4"/>
    <n v="5"/>
    <n v="168.7"/>
    <x v="290"/>
    <x v="3"/>
  </r>
  <r>
    <d v="2022-06-01T00:00:00"/>
    <s v="Wednesday"/>
    <x v="5"/>
    <x v="0"/>
    <x v="0"/>
    <x v="0"/>
    <x v="1"/>
    <x v="1"/>
    <x v="4"/>
    <n v="3"/>
    <n v="153.82"/>
    <x v="291"/>
    <x v="1"/>
  </r>
  <r>
    <d v="2022-02-13T00:00:00"/>
    <s v="Sunday"/>
    <x v="4"/>
    <x v="7"/>
    <x v="1"/>
    <x v="1"/>
    <x v="0"/>
    <x v="2"/>
    <x v="0"/>
    <n v="4"/>
    <n v="281"/>
    <x v="292"/>
    <x v="2"/>
  </r>
  <r>
    <d v="2022-03-28T00:00:00"/>
    <s v="Monday"/>
    <x v="7"/>
    <x v="9"/>
    <x v="4"/>
    <x v="6"/>
    <x v="1"/>
    <x v="1"/>
    <x v="6"/>
    <n v="5"/>
    <n v="112.4"/>
    <x v="293"/>
    <x v="3"/>
  </r>
  <r>
    <d v="2022-01-20T00:00:00"/>
    <s v="Thursday"/>
    <x v="6"/>
    <x v="5"/>
    <x v="2"/>
    <x v="3"/>
    <x v="0"/>
    <x v="0"/>
    <x v="5"/>
    <n v="1"/>
    <n v="233.16"/>
    <x v="294"/>
    <x v="1"/>
  </r>
  <r>
    <d v="2022-02-27T00:00:00"/>
    <s v="Sunday"/>
    <x v="4"/>
    <x v="1"/>
    <x v="1"/>
    <x v="1"/>
    <x v="0"/>
    <x v="3"/>
    <x v="1"/>
    <n v="5"/>
    <n v="248.71"/>
    <x v="295"/>
    <x v="3"/>
  </r>
  <r>
    <d v="2022-05-26T00:00:00"/>
    <s v="Thursday"/>
    <x v="0"/>
    <x v="3"/>
    <x v="2"/>
    <x v="2"/>
    <x v="2"/>
    <x v="2"/>
    <x v="3"/>
    <n v="5"/>
    <n v="157.19999999999999"/>
    <x v="296"/>
    <x v="3"/>
  </r>
  <r>
    <d v="2022-01-29T00:00:00"/>
    <s v="Saturday"/>
    <x v="6"/>
    <x v="1"/>
    <x v="1"/>
    <x v="1"/>
    <x v="2"/>
    <x v="0"/>
    <x v="3"/>
    <n v="4"/>
    <n v="113.75"/>
    <x v="297"/>
    <x v="3"/>
  </r>
  <r>
    <d v="2022-04-14T00:00:00"/>
    <s v="Thursday"/>
    <x v="2"/>
    <x v="1"/>
    <x v="1"/>
    <x v="1"/>
    <x v="1"/>
    <x v="1"/>
    <x v="2"/>
    <n v="1"/>
    <n v="109.66"/>
    <x v="298"/>
    <x v="1"/>
  </r>
  <r>
    <d v="2022-06-06T00:00:00"/>
    <s v="Monday"/>
    <x v="5"/>
    <x v="9"/>
    <x v="4"/>
    <x v="6"/>
    <x v="1"/>
    <x v="2"/>
    <x v="6"/>
    <n v="1"/>
    <n v="81.569999999999993"/>
    <x v="299"/>
    <x v="2"/>
  </r>
  <r>
    <d v="2022-02-08T00:00:00"/>
    <s v="Tuesday"/>
    <x v="4"/>
    <x v="0"/>
    <x v="0"/>
    <x v="0"/>
    <x v="2"/>
    <x v="2"/>
    <x v="5"/>
    <n v="2"/>
    <n v="247.2"/>
    <x v="300"/>
    <x v="2"/>
  </r>
  <r>
    <d v="2022-05-06T00:00:00"/>
    <s v="Friday"/>
    <x v="0"/>
    <x v="9"/>
    <x v="4"/>
    <x v="6"/>
    <x v="1"/>
    <x v="3"/>
    <x v="0"/>
    <n v="4"/>
    <n v="250.26"/>
    <x v="301"/>
    <x v="0"/>
  </r>
  <r>
    <d v="2022-01-06T00:00:00"/>
    <s v="Thursday"/>
    <x v="6"/>
    <x v="7"/>
    <x v="1"/>
    <x v="1"/>
    <x v="0"/>
    <x v="3"/>
    <x v="2"/>
    <n v="1"/>
    <n v="137.19999999999999"/>
    <x v="302"/>
    <x v="0"/>
  </r>
  <r>
    <d v="2022-03-18T00:00:00"/>
    <s v="Friday"/>
    <x v="7"/>
    <x v="7"/>
    <x v="1"/>
    <x v="1"/>
    <x v="1"/>
    <x v="1"/>
    <x v="5"/>
    <n v="3"/>
    <n v="164.06"/>
    <x v="303"/>
    <x v="2"/>
  </r>
  <r>
    <d v="2022-02-07T00:00:00"/>
    <s v="Monday"/>
    <x v="4"/>
    <x v="5"/>
    <x v="2"/>
    <x v="3"/>
    <x v="0"/>
    <x v="1"/>
    <x v="1"/>
    <n v="4"/>
    <n v="198.45"/>
    <x v="304"/>
    <x v="3"/>
  </r>
  <r>
    <d v="2022-06-05T00:00:00"/>
    <s v="Sunday"/>
    <x v="5"/>
    <x v="9"/>
    <x v="4"/>
    <x v="6"/>
    <x v="0"/>
    <x v="0"/>
    <x v="2"/>
    <n v="2"/>
    <n v="162.47999999999999"/>
    <x v="305"/>
    <x v="1"/>
  </r>
  <r>
    <d v="2022-06-13T00:00:00"/>
    <s v="Monday"/>
    <x v="5"/>
    <x v="6"/>
    <x v="2"/>
    <x v="4"/>
    <x v="2"/>
    <x v="2"/>
    <x v="4"/>
    <n v="4"/>
    <n v="243.48"/>
    <x v="306"/>
    <x v="3"/>
  </r>
  <r>
    <d v="2022-08-10T00:00:00"/>
    <s v="Wednesday"/>
    <x v="1"/>
    <x v="2"/>
    <x v="1"/>
    <x v="2"/>
    <x v="1"/>
    <x v="0"/>
    <x v="4"/>
    <n v="4"/>
    <n v="183.4"/>
    <x v="307"/>
    <x v="0"/>
  </r>
  <r>
    <d v="2022-05-05T00:00:00"/>
    <s v="Thursday"/>
    <x v="0"/>
    <x v="5"/>
    <x v="2"/>
    <x v="3"/>
    <x v="2"/>
    <x v="1"/>
    <x v="4"/>
    <n v="1"/>
    <n v="271.44"/>
    <x v="308"/>
    <x v="1"/>
  </r>
  <r>
    <d v="2022-03-01T00:00:00"/>
    <s v="Tuesday"/>
    <x v="7"/>
    <x v="5"/>
    <x v="2"/>
    <x v="3"/>
    <x v="0"/>
    <x v="0"/>
    <x v="1"/>
    <n v="2"/>
    <n v="135.47999999999999"/>
    <x v="309"/>
    <x v="1"/>
  </r>
  <r>
    <d v="2022-01-21T00:00:00"/>
    <s v="Friday"/>
    <x v="6"/>
    <x v="0"/>
    <x v="0"/>
    <x v="0"/>
    <x v="2"/>
    <x v="3"/>
    <x v="0"/>
    <n v="5"/>
    <n v="148.46"/>
    <x v="310"/>
    <x v="0"/>
  </r>
  <r>
    <d v="2022-07-10T00:00:00"/>
    <s v="Sunday"/>
    <x v="3"/>
    <x v="8"/>
    <x v="3"/>
    <x v="5"/>
    <x v="2"/>
    <x v="2"/>
    <x v="5"/>
    <n v="5"/>
    <n v="251.06"/>
    <x v="311"/>
    <x v="2"/>
  </r>
  <r>
    <d v="2022-03-12T00:00:00"/>
    <s v="Saturday"/>
    <x v="7"/>
    <x v="8"/>
    <x v="3"/>
    <x v="5"/>
    <x v="0"/>
    <x v="1"/>
    <x v="2"/>
    <n v="2"/>
    <n v="195.41"/>
    <x v="312"/>
    <x v="0"/>
  </r>
  <r>
    <d v="2022-01-22T00:00:00"/>
    <s v="Saturday"/>
    <x v="6"/>
    <x v="1"/>
    <x v="1"/>
    <x v="1"/>
    <x v="0"/>
    <x v="0"/>
    <x v="6"/>
    <n v="4"/>
    <n v="206.29"/>
    <x v="313"/>
    <x v="3"/>
  </r>
  <r>
    <d v="2022-05-13T00:00:00"/>
    <s v="Friday"/>
    <x v="0"/>
    <x v="8"/>
    <x v="3"/>
    <x v="5"/>
    <x v="1"/>
    <x v="1"/>
    <x v="0"/>
    <n v="4"/>
    <n v="146.09"/>
    <x v="314"/>
    <x v="1"/>
  </r>
  <r>
    <d v="2022-05-26T00:00:00"/>
    <s v="Thursday"/>
    <x v="0"/>
    <x v="1"/>
    <x v="1"/>
    <x v="1"/>
    <x v="1"/>
    <x v="0"/>
    <x v="1"/>
    <n v="1"/>
    <n v="284.3"/>
    <x v="315"/>
    <x v="0"/>
  </r>
  <r>
    <d v="2022-01-14T00:00:00"/>
    <s v="Friday"/>
    <x v="6"/>
    <x v="9"/>
    <x v="4"/>
    <x v="6"/>
    <x v="0"/>
    <x v="0"/>
    <x v="3"/>
    <n v="5"/>
    <n v="289.47000000000003"/>
    <x v="316"/>
    <x v="0"/>
  </r>
  <r>
    <d v="2022-03-10T00:00:00"/>
    <s v="Thursday"/>
    <x v="7"/>
    <x v="3"/>
    <x v="2"/>
    <x v="2"/>
    <x v="1"/>
    <x v="3"/>
    <x v="4"/>
    <n v="2"/>
    <n v="218.25"/>
    <x v="317"/>
    <x v="3"/>
  </r>
  <r>
    <d v="2022-07-08T00:00:00"/>
    <s v="Friday"/>
    <x v="3"/>
    <x v="4"/>
    <x v="1"/>
    <x v="2"/>
    <x v="2"/>
    <x v="1"/>
    <x v="6"/>
    <n v="4"/>
    <n v="204.62"/>
    <x v="318"/>
    <x v="3"/>
  </r>
  <r>
    <d v="2022-01-03T00:00:00"/>
    <s v="Monday"/>
    <x v="6"/>
    <x v="9"/>
    <x v="4"/>
    <x v="6"/>
    <x v="1"/>
    <x v="0"/>
    <x v="0"/>
    <n v="2"/>
    <n v="267.42"/>
    <x v="319"/>
    <x v="1"/>
  </r>
  <r>
    <d v="2022-04-02T00:00:00"/>
    <s v="Saturday"/>
    <x v="2"/>
    <x v="6"/>
    <x v="2"/>
    <x v="4"/>
    <x v="2"/>
    <x v="2"/>
    <x v="2"/>
    <n v="1"/>
    <n v="144.59"/>
    <x v="320"/>
    <x v="2"/>
  </r>
  <r>
    <d v="2022-08-17T00:00:00"/>
    <s v="Wednesday"/>
    <x v="1"/>
    <x v="1"/>
    <x v="1"/>
    <x v="1"/>
    <x v="2"/>
    <x v="3"/>
    <x v="5"/>
    <n v="2"/>
    <n v="80.47"/>
    <x v="321"/>
    <x v="0"/>
  </r>
  <r>
    <d v="2022-04-26T00:00:00"/>
    <s v="Tuesday"/>
    <x v="2"/>
    <x v="3"/>
    <x v="2"/>
    <x v="2"/>
    <x v="2"/>
    <x v="2"/>
    <x v="5"/>
    <n v="2"/>
    <n v="98.17"/>
    <x v="322"/>
    <x v="0"/>
  </r>
  <r>
    <d v="2022-06-15T00:00:00"/>
    <s v="Wednesday"/>
    <x v="5"/>
    <x v="5"/>
    <x v="2"/>
    <x v="3"/>
    <x v="2"/>
    <x v="3"/>
    <x v="4"/>
    <n v="2"/>
    <n v="63.76"/>
    <x v="323"/>
    <x v="1"/>
  </r>
  <r>
    <d v="2022-04-06T00:00:00"/>
    <s v="Wednesday"/>
    <x v="2"/>
    <x v="6"/>
    <x v="2"/>
    <x v="4"/>
    <x v="2"/>
    <x v="2"/>
    <x v="4"/>
    <n v="2"/>
    <n v="157.12"/>
    <x v="324"/>
    <x v="0"/>
  </r>
  <r>
    <d v="2022-04-07T00:00:00"/>
    <s v="Thursday"/>
    <x v="2"/>
    <x v="6"/>
    <x v="2"/>
    <x v="4"/>
    <x v="1"/>
    <x v="2"/>
    <x v="2"/>
    <n v="5"/>
    <n v="293.20999999999998"/>
    <x v="325"/>
    <x v="1"/>
  </r>
  <r>
    <d v="2022-03-30T00:00:00"/>
    <s v="Wednesday"/>
    <x v="7"/>
    <x v="5"/>
    <x v="2"/>
    <x v="3"/>
    <x v="2"/>
    <x v="1"/>
    <x v="4"/>
    <n v="2"/>
    <n v="142.25"/>
    <x v="326"/>
    <x v="2"/>
  </r>
  <r>
    <d v="2022-07-02T00:00:00"/>
    <s v="Saturday"/>
    <x v="3"/>
    <x v="5"/>
    <x v="2"/>
    <x v="3"/>
    <x v="2"/>
    <x v="3"/>
    <x v="0"/>
    <n v="1"/>
    <n v="86.17"/>
    <x v="327"/>
    <x v="3"/>
  </r>
  <r>
    <d v="2022-07-09T00:00:00"/>
    <s v="Saturday"/>
    <x v="3"/>
    <x v="3"/>
    <x v="2"/>
    <x v="2"/>
    <x v="1"/>
    <x v="0"/>
    <x v="5"/>
    <n v="3"/>
    <n v="172.37"/>
    <x v="328"/>
    <x v="0"/>
  </r>
  <r>
    <d v="2022-02-05T00:00:00"/>
    <s v="Saturday"/>
    <x v="4"/>
    <x v="5"/>
    <x v="2"/>
    <x v="3"/>
    <x v="2"/>
    <x v="3"/>
    <x v="6"/>
    <n v="3"/>
    <n v="236.05"/>
    <x v="329"/>
    <x v="2"/>
  </r>
  <r>
    <d v="2022-07-11T00:00:00"/>
    <s v="Monday"/>
    <x v="3"/>
    <x v="3"/>
    <x v="2"/>
    <x v="2"/>
    <x v="2"/>
    <x v="1"/>
    <x v="4"/>
    <n v="3"/>
    <n v="256.72000000000003"/>
    <x v="330"/>
    <x v="2"/>
  </r>
  <r>
    <d v="2022-06-02T00:00:00"/>
    <s v="Thursday"/>
    <x v="5"/>
    <x v="2"/>
    <x v="1"/>
    <x v="2"/>
    <x v="2"/>
    <x v="0"/>
    <x v="4"/>
    <n v="4"/>
    <n v="205.64"/>
    <x v="331"/>
    <x v="3"/>
  </r>
  <r>
    <d v="2022-05-29T00:00:00"/>
    <s v="Sunday"/>
    <x v="0"/>
    <x v="5"/>
    <x v="2"/>
    <x v="3"/>
    <x v="2"/>
    <x v="1"/>
    <x v="2"/>
    <n v="4"/>
    <n v="68.180000000000007"/>
    <x v="332"/>
    <x v="1"/>
  </r>
  <r>
    <d v="2022-03-21T00:00:00"/>
    <s v="Monday"/>
    <x v="7"/>
    <x v="8"/>
    <x v="3"/>
    <x v="5"/>
    <x v="2"/>
    <x v="0"/>
    <x v="3"/>
    <n v="4"/>
    <n v="68.97"/>
    <x v="333"/>
    <x v="0"/>
  </r>
  <r>
    <d v="2022-06-06T00:00:00"/>
    <s v="Monday"/>
    <x v="5"/>
    <x v="3"/>
    <x v="2"/>
    <x v="2"/>
    <x v="0"/>
    <x v="0"/>
    <x v="2"/>
    <n v="5"/>
    <n v="123.23"/>
    <x v="334"/>
    <x v="3"/>
  </r>
  <r>
    <d v="2022-08-24T00:00:00"/>
    <s v="Wednesday"/>
    <x v="1"/>
    <x v="2"/>
    <x v="1"/>
    <x v="2"/>
    <x v="1"/>
    <x v="1"/>
    <x v="3"/>
    <n v="5"/>
    <n v="273"/>
    <x v="335"/>
    <x v="0"/>
  </r>
  <r>
    <d v="2022-02-10T00:00:00"/>
    <s v="Thursday"/>
    <x v="4"/>
    <x v="1"/>
    <x v="1"/>
    <x v="1"/>
    <x v="1"/>
    <x v="2"/>
    <x v="5"/>
    <n v="3"/>
    <n v="225.84"/>
    <x v="336"/>
    <x v="0"/>
  </r>
  <r>
    <d v="2022-03-01T00:00:00"/>
    <s v="Tuesday"/>
    <x v="7"/>
    <x v="4"/>
    <x v="1"/>
    <x v="2"/>
    <x v="1"/>
    <x v="3"/>
    <x v="5"/>
    <n v="3"/>
    <n v="235.36"/>
    <x v="337"/>
    <x v="3"/>
  </r>
  <r>
    <d v="2022-03-17T00:00:00"/>
    <s v="Thursday"/>
    <x v="7"/>
    <x v="1"/>
    <x v="1"/>
    <x v="1"/>
    <x v="1"/>
    <x v="3"/>
    <x v="6"/>
    <n v="5"/>
    <n v="189.94"/>
    <x v="338"/>
    <x v="1"/>
  </r>
  <r>
    <d v="2022-01-03T00:00:00"/>
    <s v="Monday"/>
    <x v="6"/>
    <x v="5"/>
    <x v="2"/>
    <x v="3"/>
    <x v="1"/>
    <x v="2"/>
    <x v="1"/>
    <n v="3"/>
    <n v="110.2"/>
    <x v="339"/>
    <x v="0"/>
  </r>
  <r>
    <d v="2022-06-29T00:00:00"/>
    <s v="Wednesday"/>
    <x v="5"/>
    <x v="5"/>
    <x v="2"/>
    <x v="3"/>
    <x v="0"/>
    <x v="3"/>
    <x v="2"/>
    <n v="2"/>
    <n v="54.76"/>
    <x v="340"/>
    <x v="3"/>
  </r>
  <r>
    <d v="2022-06-02T00:00:00"/>
    <s v="Thursday"/>
    <x v="5"/>
    <x v="6"/>
    <x v="2"/>
    <x v="4"/>
    <x v="1"/>
    <x v="3"/>
    <x v="3"/>
    <n v="1"/>
    <n v="296.56"/>
    <x v="341"/>
    <x v="2"/>
  </r>
  <r>
    <d v="2022-06-04T00:00:00"/>
    <s v="Saturday"/>
    <x v="5"/>
    <x v="1"/>
    <x v="1"/>
    <x v="1"/>
    <x v="1"/>
    <x v="3"/>
    <x v="3"/>
    <n v="1"/>
    <n v="296.51"/>
    <x v="342"/>
    <x v="3"/>
  </r>
  <r>
    <d v="2022-04-03T00:00:00"/>
    <s v="Sunday"/>
    <x v="2"/>
    <x v="9"/>
    <x v="4"/>
    <x v="6"/>
    <x v="2"/>
    <x v="2"/>
    <x v="6"/>
    <n v="1"/>
    <n v="89.5"/>
    <x v="343"/>
    <x v="2"/>
  </r>
  <r>
    <d v="2022-03-16T00:00:00"/>
    <s v="Wednesday"/>
    <x v="7"/>
    <x v="1"/>
    <x v="1"/>
    <x v="1"/>
    <x v="0"/>
    <x v="2"/>
    <x v="4"/>
    <n v="3"/>
    <n v="280.64"/>
    <x v="344"/>
    <x v="0"/>
  </r>
  <r>
    <d v="2022-02-15T00:00:00"/>
    <s v="Tuesday"/>
    <x v="4"/>
    <x v="3"/>
    <x v="2"/>
    <x v="2"/>
    <x v="1"/>
    <x v="1"/>
    <x v="5"/>
    <n v="5"/>
    <n v="234.28"/>
    <x v="345"/>
    <x v="1"/>
  </r>
  <r>
    <d v="2022-01-01T00:00:00"/>
    <s v="Saturday"/>
    <x v="6"/>
    <x v="2"/>
    <x v="1"/>
    <x v="2"/>
    <x v="1"/>
    <x v="1"/>
    <x v="0"/>
    <n v="2"/>
    <n v="294.89"/>
    <x v="346"/>
    <x v="3"/>
  </r>
  <r>
    <d v="2022-03-10T00:00:00"/>
    <s v="Thursday"/>
    <x v="7"/>
    <x v="4"/>
    <x v="1"/>
    <x v="2"/>
    <x v="1"/>
    <x v="3"/>
    <x v="1"/>
    <n v="1"/>
    <n v="208.24"/>
    <x v="347"/>
    <x v="1"/>
  </r>
  <r>
    <d v="2022-04-08T00:00:00"/>
    <s v="Friday"/>
    <x v="2"/>
    <x v="4"/>
    <x v="1"/>
    <x v="2"/>
    <x v="2"/>
    <x v="2"/>
    <x v="6"/>
    <n v="5"/>
    <n v="94.25"/>
    <x v="348"/>
    <x v="3"/>
  </r>
  <r>
    <d v="2022-08-03T00:00:00"/>
    <s v="Wednesday"/>
    <x v="1"/>
    <x v="3"/>
    <x v="2"/>
    <x v="2"/>
    <x v="1"/>
    <x v="2"/>
    <x v="2"/>
    <n v="5"/>
    <n v="259"/>
    <x v="349"/>
    <x v="0"/>
  </r>
  <r>
    <d v="2022-05-05T00:00:00"/>
    <s v="Thursday"/>
    <x v="0"/>
    <x v="9"/>
    <x v="4"/>
    <x v="6"/>
    <x v="1"/>
    <x v="2"/>
    <x v="2"/>
    <n v="4"/>
    <n v="299.73"/>
    <x v="350"/>
    <x v="1"/>
  </r>
  <r>
    <d v="2022-05-19T00:00:00"/>
    <s v="Thursday"/>
    <x v="0"/>
    <x v="7"/>
    <x v="1"/>
    <x v="1"/>
    <x v="2"/>
    <x v="2"/>
    <x v="5"/>
    <n v="5"/>
    <n v="71.260000000000005"/>
    <x v="351"/>
    <x v="1"/>
  </r>
  <r>
    <d v="2022-07-17T00:00:00"/>
    <s v="Sunday"/>
    <x v="3"/>
    <x v="2"/>
    <x v="1"/>
    <x v="2"/>
    <x v="1"/>
    <x v="0"/>
    <x v="0"/>
    <n v="5"/>
    <n v="270.14"/>
    <x v="35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4806D3-355A-456B-BF00-77B4B5779AA2}" name="Month_on_Month_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rowHeaderCaption="Month">
  <location ref="D35:F44" firstHeaderRow="0" firstDataRow="1" firstDataCol="1"/>
  <pivotFields count="14">
    <pivotField numFmtId="14" showAll="0"/>
    <pivotField showAll="0"/>
    <pivotField axis="axisRow" showAll="0">
      <items count="9">
        <item x="6"/>
        <item x="4"/>
        <item x="7"/>
        <item x="2"/>
        <item x="0"/>
        <item x="5"/>
        <item x="3"/>
        <item x="1"/>
        <item t="default"/>
      </items>
    </pivotField>
    <pivotField showAll="0"/>
    <pivotField showAll="0">
      <items count="6">
        <item x="3"/>
        <item x="2"/>
        <item x="4"/>
        <item x="1"/>
        <item x="0"/>
        <item t="default"/>
      </items>
    </pivotField>
    <pivotField showAll="0">
      <items count="8">
        <item x="1"/>
        <item x="0"/>
        <item x="5"/>
        <item x="2"/>
        <item x="3"/>
        <item x="6"/>
        <item x="4"/>
        <item t="default"/>
      </items>
    </pivotField>
    <pivotField showAll="0">
      <items count="4">
        <item x="2"/>
        <item x="0"/>
        <item x="1"/>
        <item t="default"/>
      </items>
    </pivotField>
    <pivotField showAll="0">
      <items count="5">
        <item x="2"/>
        <item x="0"/>
        <item x="3"/>
        <item x="1"/>
        <item t="default"/>
      </items>
    </pivotField>
    <pivotField showAll="0">
      <items count="8">
        <item x="3"/>
        <item x="5"/>
        <item x="2"/>
        <item x="6"/>
        <item x="0"/>
        <item x="4"/>
        <item x="1"/>
        <item t="default"/>
      </items>
    </pivotField>
    <pivotField showAll="0"/>
    <pivotField showAll="0"/>
    <pivotField dataField="1" showAll="0"/>
    <pivotField showAll="0">
      <items count="5">
        <item x="0"/>
        <item x="1"/>
        <item x="2"/>
        <item x="3"/>
        <item t="default"/>
      </items>
    </pivotField>
    <pivotField dragToRow="0" dragToCol="0" dragToPage="0" showAll="0" defaultSubtotal="0"/>
  </pivotFields>
  <rowFields count="1">
    <field x="2"/>
  </rowFields>
  <rowItems count="9">
    <i>
      <x/>
    </i>
    <i>
      <x v="1"/>
    </i>
    <i>
      <x v="2"/>
    </i>
    <i>
      <x v="3"/>
    </i>
    <i>
      <x v="4"/>
    </i>
    <i>
      <x v="5"/>
    </i>
    <i>
      <x v="6"/>
    </i>
    <i>
      <x v="7"/>
    </i>
    <i t="grand">
      <x/>
    </i>
  </rowItems>
  <colFields count="1">
    <field x="-2"/>
  </colFields>
  <colItems count="2">
    <i>
      <x/>
    </i>
    <i i="1">
      <x v="1"/>
    </i>
  </colItems>
  <dataFields count="2">
    <dataField name="Revenue" fld="11" baseField="2" baseItem="0"/>
    <dataField name="Month on Month Analysis" fld="11" showDataAs="percentDiff" baseField="2" baseItem="0" numFmtId="10"/>
  </dataFields>
  <formats count="2">
    <format dxfId="1">
      <pivotArea outline="0" collapsedLevelsAreSubtotals="1" fieldPosition="0"/>
    </format>
    <format dxfId="0">
      <pivotArea outline="0" fieldPosition="0">
        <references count="1">
          <reference field="4294967294" count="1">
            <x v="1"/>
          </reference>
        </references>
      </pivotArea>
    </format>
  </formats>
  <chartFormats count="10">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40" format="4" series="1">
      <pivotArea type="data" outline="0" fieldPosition="0">
        <references count="1">
          <reference field="4294967294" count="1" selected="0">
            <x v="0"/>
          </reference>
        </references>
      </pivotArea>
    </chartFormat>
    <chartFormat chart="40" format="5" series="1">
      <pivotArea type="data" outline="0" fieldPosition="0">
        <references count="1">
          <reference field="4294967294" count="1" selected="0">
            <x v="1"/>
          </reference>
        </references>
      </pivotArea>
    </chartFormat>
    <chartFormat chart="40" format="6">
      <pivotArea type="data" outline="0" fieldPosition="0">
        <references count="2">
          <reference field="4294967294" count="1" selected="0">
            <x v="0"/>
          </reference>
          <reference field="2" count="1" selected="0">
            <x v="1"/>
          </reference>
        </references>
      </pivotArea>
    </chartFormat>
    <chartFormat chart="40" format="7">
      <pivotArea type="data" outline="0" fieldPosition="0">
        <references count="2">
          <reference field="4294967294" count="1" selected="0">
            <x v="0"/>
          </reference>
          <reference field="2" count="1" selected="0">
            <x v="3"/>
          </reference>
        </references>
      </pivotArea>
    </chartFormat>
    <chartFormat chart="40" format="8">
      <pivotArea type="data" outline="0" fieldPosition="0">
        <references count="2">
          <reference field="4294967294" count="1" selected="0">
            <x v="0"/>
          </reference>
          <reference field="2" count="1" selected="0">
            <x v="5"/>
          </reference>
        </references>
      </pivotArea>
    </chartFormat>
    <chartFormat chart="40" format="9">
      <pivotArea type="data" outline="0" fieldPosition="0">
        <references count="2">
          <reference field="4294967294" count="1" selected="0">
            <x v="0"/>
          </reference>
          <reference field="2" count="1" selected="0">
            <x v="7"/>
          </reference>
        </references>
      </pivotArea>
    </chartFormat>
    <chartFormat chart="40" format="10">
      <pivotArea type="data" outline="0" fieldPosition="0">
        <references count="2">
          <reference field="4294967294" count="1" selected="0">
            <x v="1"/>
          </reference>
          <reference field="2" count="1" selected="0">
            <x v="1"/>
          </reference>
        </references>
      </pivotArea>
    </chartFormat>
    <chartFormat chart="40" format="11">
      <pivotArea type="data" outline="0" fieldPosition="0">
        <references count="2">
          <reference field="4294967294" count="1" selected="0">
            <x v="1"/>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89B39B-C088-41DF-B5F2-E86016B96669}" name="Revenue_by_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ountry">
  <location ref="K45:L53" firstHeaderRow="1" firstDataRow="1" firstDataCol="1"/>
  <pivotFields count="14">
    <pivotField numFmtId="14" showAll="0"/>
    <pivotField showAll="0"/>
    <pivotField showAll="0">
      <items count="9">
        <item x="6"/>
        <item x="4"/>
        <item x="7"/>
        <item x="2"/>
        <item x="0"/>
        <item x="5"/>
        <item x="3"/>
        <item x="1"/>
        <item t="default"/>
      </items>
    </pivotField>
    <pivotField showAll="0"/>
    <pivotField showAll="0">
      <items count="6">
        <item x="3"/>
        <item x="2"/>
        <item x="4"/>
        <item x="1"/>
        <item x="0"/>
        <item t="default"/>
      </items>
    </pivotField>
    <pivotField showAll="0">
      <items count="8">
        <item x="1"/>
        <item x="0"/>
        <item x="5"/>
        <item x="2"/>
        <item x="3"/>
        <item x="6"/>
        <item x="4"/>
        <item t="default"/>
      </items>
    </pivotField>
    <pivotField showAll="0">
      <items count="4">
        <item x="2"/>
        <item x="0"/>
        <item x="1"/>
        <item t="default"/>
      </items>
    </pivotField>
    <pivotField showAll="0">
      <items count="5">
        <item x="2"/>
        <item x="0"/>
        <item x="3"/>
        <item x="1"/>
        <item t="default"/>
      </items>
    </pivotField>
    <pivotField axis="axisRow" showAll="0">
      <items count="8">
        <item x="3"/>
        <item x="5"/>
        <item x="2"/>
        <item x="6"/>
        <item x="0"/>
        <item x="4"/>
        <item x="1"/>
        <item t="default"/>
      </items>
    </pivotField>
    <pivotField showAll="0"/>
    <pivotField showAll="0"/>
    <pivotField dataField="1" showAll="0"/>
    <pivotField showAll="0">
      <items count="5">
        <item x="0"/>
        <item x="1"/>
        <item x="2"/>
        <item x="3"/>
        <item t="default"/>
      </items>
    </pivotField>
    <pivotField dragToRow="0" dragToCol="0" dragToPage="0" showAll="0" defaultSubtotal="0"/>
  </pivotFields>
  <rowFields count="1">
    <field x="8"/>
  </rowFields>
  <rowItems count="8">
    <i>
      <x/>
    </i>
    <i>
      <x v="1"/>
    </i>
    <i>
      <x v="2"/>
    </i>
    <i>
      <x v="3"/>
    </i>
    <i>
      <x v="4"/>
    </i>
    <i>
      <x v="5"/>
    </i>
    <i>
      <x v="6"/>
    </i>
    <i t="grand">
      <x/>
    </i>
  </rowItems>
  <colItems count="1">
    <i/>
  </colItems>
  <dataFields count="1">
    <dataField name="Revenue" fld="11" baseField="8" baseItem="0" numFmtId="167"/>
  </dataFields>
  <formats count="11">
    <format dxfId="12">
      <pivotArea outline="0" collapsedLevelsAreSubtotals="1" fieldPosition="0"/>
    </format>
    <format dxfId="11">
      <pivotArea dataOnly="0" labelOnly="1" outline="0" axis="axisValues" fieldPosition="0"/>
    </format>
    <format dxfId="10">
      <pivotArea collapsedLevelsAreSubtotals="1" fieldPosition="0">
        <references count="1">
          <reference field="8" count="1">
            <x v="1"/>
          </reference>
        </references>
      </pivotArea>
    </format>
    <format dxfId="9">
      <pivotArea collapsedLevelsAreSubtotals="1" fieldPosition="0">
        <references count="1">
          <reference field="8" count="1">
            <x v="0"/>
          </reference>
        </references>
      </pivotArea>
    </format>
    <format dxfId="8">
      <pivotArea collapsedLevelsAreSubtotals="1" fieldPosition="0">
        <references count="1">
          <reference field="8" count="1">
            <x v="2"/>
          </reference>
        </references>
      </pivotArea>
    </format>
    <format dxfId="7">
      <pivotArea collapsedLevelsAreSubtotals="1" fieldPosition="0">
        <references count="1">
          <reference field="8" count="1">
            <x v="3"/>
          </reference>
        </references>
      </pivotArea>
    </format>
    <format dxfId="6">
      <pivotArea collapsedLevelsAreSubtotals="1" fieldPosition="0">
        <references count="1">
          <reference field="8" count="1">
            <x v="4"/>
          </reference>
        </references>
      </pivotArea>
    </format>
    <format dxfId="5">
      <pivotArea collapsedLevelsAreSubtotals="1" fieldPosition="0">
        <references count="1">
          <reference field="8" count="1">
            <x v="5"/>
          </reference>
        </references>
      </pivotArea>
    </format>
    <format dxfId="4">
      <pivotArea collapsedLevelsAreSubtotals="1" fieldPosition="0">
        <references count="1">
          <reference field="8" count="1">
            <x v="6"/>
          </reference>
        </references>
      </pivotArea>
    </format>
    <format dxfId="3">
      <pivotArea grandRow="1" outline="0" collapsedLevelsAreSubtotals="1" fieldPosition="0"/>
    </format>
    <format dxfId="2">
      <pivotArea outline="0" fieldPosition="0">
        <references count="1">
          <reference field="4294967294" count="1">
            <x v="0"/>
          </reference>
        </references>
      </pivotArea>
    </format>
  </formats>
  <chartFormats count="4">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8" count="1" selected="0">
            <x v="5"/>
          </reference>
        </references>
      </pivotArea>
    </chartFormat>
    <chartFormat chart="9" format="4">
      <pivotArea type="data" outline="0" fieldPosition="0">
        <references count="2">
          <reference field="4294967294" count="1" selected="0">
            <x v="0"/>
          </reference>
          <reference field="8" count="1" selected="0">
            <x v="3"/>
          </reference>
        </references>
      </pivotArea>
    </chartFormat>
    <chartFormat chart="9" format="5">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A3C15E-011C-48F2-A91D-C9A1F605A8B7}" name="Products_by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oduct Name">
  <location ref="E3:F14" firstHeaderRow="1" firstDataRow="1" firstDataCol="1"/>
  <pivotFields count="14">
    <pivotField numFmtId="14" showAll="0"/>
    <pivotField showAll="0"/>
    <pivotField showAll="0">
      <items count="9">
        <item x="6"/>
        <item x="4"/>
        <item x="7"/>
        <item x="2"/>
        <item x="0"/>
        <item x="5"/>
        <item x="3"/>
        <item x="1"/>
        <item t="default"/>
      </items>
    </pivotField>
    <pivotField axis="axisRow" showAll="0" sortType="descending">
      <items count="11">
        <item x="7"/>
        <item x="0"/>
        <item x="4"/>
        <item x="8"/>
        <item x="2"/>
        <item x="3"/>
        <item x="5"/>
        <item x="9"/>
        <item x="6"/>
        <item x="1"/>
        <item t="default"/>
      </items>
      <autoSortScope>
        <pivotArea dataOnly="0" outline="0" fieldPosition="0">
          <references count="1">
            <reference field="4294967294" count="1" selected="0">
              <x v="0"/>
            </reference>
          </references>
        </pivotArea>
      </autoSortScope>
    </pivotField>
    <pivotField showAll="0">
      <items count="6">
        <item x="3"/>
        <item x="2"/>
        <item x="4"/>
        <item x="1"/>
        <item x="0"/>
        <item t="default"/>
      </items>
    </pivotField>
    <pivotField showAll="0">
      <items count="8">
        <item x="1"/>
        <item x="0"/>
        <item x="5"/>
        <item x="2"/>
        <item x="3"/>
        <item x="6"/>
        <item x="4"/>
        <item t="default"/>
      </items>
    </pivotField>
    <pivotField showAll="0">
      <items count="4">
        <item x="2"/>
        <item x="0"/>
        <item x="1"/>
        <item t="default"/>
      </items>
    </pivotField>
    <pivotField showAll="0">
      <items count="5">
        <item x="2"/>
        <item x="0"/>
        <item x="3"/>
        <item x="1"/>
        <item t="default"/>
      </items>
    </pivotField>
    <pivotField showAll="0">
      <items count="8">
        <item x="3"/>
        <item x="5"/>
        <item x="2"/>
        <item x="6"/>
        <item x="0"/>
        <item x="4"/>
        <item x="1"/>
        <item t="default"/>
      </items>
    </pivotField>
    <pivotField showAll="0"/>
    <pivotField showAll="0"/>
    <pivotField dataField="1" showAll="0"/>
    <pivotField showAll="0">
      <items count="5">
        <item x="0"/>
        <item x="1"/>
        <item x="2"/>
        <item x="3"/>
        <item t="default"/>
      </items>
    </pivotField>
    <pivotField dragToRow="0" dragToCol="0" dragToPage="0" showAll="0" defaultSubtotal="0"/>
  </pivotFields>
  <rowFields count="1">
    <field x="3"/>
  </rowFields>
  <rowItems count="11">
    <i>
      <x v="6"/>
    </i>
    <i>
      <x v="4"/>
    </i>
    <i>
      <x v="5"/>
    </i>
    <i>
      <x v="9"/>
    </i>
    <i>
      <x v="7"/>
    </i>
    <i>
      <x v="2"/>
    </i>
    <i>
      <x v="8"/>
    </i>
    <i>
      <x/>
    </i>
    <i>
      <x v="3"/>
    </i>
    <i>
      <x v="1"/>
    </i>
    <i t="grand">
      <x/>
    </i>
  </rowItems>
  <colItems count="1">
    <i/>
  </colItems>
  <dataFields count="1">
    <dataField name="Revenue" fld="11" baseField="3" baseItem="0" numFmtId="42"/>
  </dataFields>
  <formats count="3">
    <format dxfId="15">
      <pivotArea collapsedLevelsAreSubtotals="1" fieldPosition="0">
        <references count="1">
          <reference field="3" count="1">
            <x v="0"/>
          </reference>
        </references>
      </pivotArea>
    </format>
    <format dxfId="14">
      <pivotArea dataOnly="0" labelOnly="1" outline="0" axis="axisValues" fieldPosition="0"/>
    </format>
    <format dxfId="13">
      <pivotArea outline="0" fieldPosition="0">
        <references count="1">
          <reference field="4294967294" count="1">
            <x v="0"/>
          </reference>
        </references>
      </pivotArea>
    </format>
  </formats>
  <chartFormats count="11">
    <chartFormat chart="10" format="13" series="1">
      <pivotArea type="data" outline="0" fieldPosition="0">
        <references count="1">
          <reference field="4294967294" count="1" selected="0">
            <x v="0"/>
          </reference>
        </references>
      </pivotArea>
    </chartFormat>
    <chartFormat chart="10" format="14">
      <pivotArea type="data" outline="0" fieldPosition="0">
        <references count="2">
          <reference field="4294967294" count="1" selected="0">
            <x v="0"/>
          </reference>
          <reference field="3" count="1" selected="0">
            <x v="6"/>
          </reference>
        </references>
      </pivotArea>
    </chartFormat>
    <chartFormat chart="10" format="15">
      <pivotArea type="data" outline="0" fieldPosition="0">
        <references count="2">
          <reference field="4294967294" count="1" selected="0">
            <x v="0"/>
          </reference>
          <reference field="3" count="1" selected="0">
            <x v="4"/>
          </reference>
        </references>
      </pivotArea>
    </chartFormat>
    <chartFormat chart="10" format="16">
      <pivotArea type="data" outline="0" fieldPosition="0">
        <references count="2">
          <reference field="4294967294" count="1" selected="0">
            <x v="0"/>
          </reference>
          <reference field="3" count="1" selected="0">
            <x v="5"/>
          </reference>
        </references>
      </pivotArea>
    </chartFormat>
    <chartFormat chart="10" format="17">
      <pivotArea type="data" outline="0" fieldPosition="0">
        <references count="2">
          <reference field="4294967294" count="1" selected="0">
            <x v="0"/>
          </reference>
          <reference field="3" count="1" selected="0">
            <x v="9"/>
          </reference>
        </references>
      </pivotArea>
    </chartFormat>
    <chartFormat chart="10" format="18">
      <pivotArea type="data" outline="0" fieldPosition="0">
        <references count="2">
          <reference field="4294967294" count="1" selected="0">
            <x v="0"/>
          </reference>
          <reference field="3" count="1" selected="0">
            <x v="7"/>
          </reference>
        </references>
      </pivotArea>
    </chartFormat>
    <chartFormat chart="10" format="19">
      <pivotArea type="data" outline="0" fieldPosition="0">
        <references count="2">
          <reference field="4294967294" count="1" selected="0">
            <x v="0"/>
          </reference>
          <reference field="3" count="1" selected="0">
            <x v="2"/>
          </reference>
        </references>
      </pivotArea>
    </chartFormat>
    <chartFormat chart="10" format="20">
      <pivotArea type="data" outline="0" fieldPosition="0">
        <references count="2">
          <reference field="4294967294" count="1" selected="0">
            <x v="0"/>
          </reference>
          <reference field="3" count="1" selected="0">
            <x v="8"/>
          </reference>
        </references>
      </pivotArea>
    </chartFormat>
    <chartFormat chart="10" format="21">
      <pivotArea type="data" outline="0" fieldPosition="0">
        <references count="2">
          <reference field="4294967294" count="1" selected="0">
            <x v="0"/>
          </reference>
          <reference field="3" count="1" selected="0">
            <x v="0"/>
          </reference>
        </references>
      </pivotArea>
    </chartFormat>
    <chartFormat chart="10" format="22">
      <pivotArea type="data" outline="0" fieldPosition="0">
        <references count="2">
          <reference field="4294967294" count="1" selected="0">
            <x v="0"/>
          </reference>
          <reference field="3" count="1" selected="0">
            <x v="3"/>
          </reference>
        </references>
      </pivotArea>
    </chartFormat>
    <chartFormat chart="10" format="23">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33B664-6C37-4CBD-A164-EDB0A1D97B26}" name="Payment_Mode_by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 Mode">
  <location ref="D18:E23" firstHeaderRow="1" firstDataRow="1" firstDataCol="1"/>
  <pivotFields count="14">
    <pivotField numFmtId="14" showAll="0"/>
    <pivotField showAll="0"/>
    <pivotField showAll="0">
      <items count="9">
        <item x="6"/>
        <item x="4"/>
        <item x="7"/>
        <item x="2"/>
        <item x="0"/>
        <item x="5"/>
        <item x="3"/>
        <item x="1"/>
        <item t="default"/>
      </items>
    </pivotField>
    <pivotField showAll="0"/>
    <pivotField showAll="0">
      <items count="6">
        <item x="3"/>
        <item x="2"/>
        <item x="4"/>
        <item x="1"/>
        <item x="0"/>
        <item t="default"/>
      </items>
    </pivotField>
    <pivotField showAll="0">
      <items count="8">
        <item x="1"/>
        <item x="0"/>
        <item x="5"/>
        <item x="2"/>
        <item x="3"/>
        <item x="6"/>
        <item x="4"/>
        <item t="default"/>
      </items>
    </pivotField>
    <pivotField showAll="0">
      <items count="4">
        <item x="2"/>
        <item x="0"/>
        <item x="1"/>
        <item t="default"/>
      </items>
    </pivotField>
    <pivotField showAll="0">
      <items count="5">
        <item x="2"/>
        <item x="0"/>
        <item x="3"/>
        <item x="1"/>
        <item t="default"/>
      </items>
    </pivotField>
    <pivotField showAll="0">
      <items count="8">
        <item x="3"/>
        <item x="5"/>
        <item x="2"/>
        <item x="6"/>
        <item x="0"/>
        <item x="4"/>
        <item x="1"/>
        <item t="default"/>
      </items>
    </pivotField>
    <pivotField showAll="0"/>
    <pivotField showAll="0"/>
    <pivotField dataField="1" showAll="0"/>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dragToRow="0" dragToCol="0" dragToPage="0" showAll="0" defaultSubtotal="0"/>
  </pivotFields>
  <rowFields count="1">
    <field x="12"/>
  </rowFields>
  <rowItems count="5">
    <i>
      <x v="3"/>
    </i>
    <i>
      <x/>
    </i>
    <i>
      <x v="1"/>
    </i>
    <i>
      <x v="2"/>
    </i>
    <i t="grand">
      <x/>
    </i>
  </rowItems>
  <colItems count="1">
    <i/>
  </colItems>
  <dataFields count="1">
    <dataField name="Revenue" fld="11" baseField="12" baseItem="0"/>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CFC28B-CE1D-4C16-A46B-7822202C2E01}" name="Product_Category_by_Qty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duct Category">
  <location ref="J26:K31" firstHeaderRow="1" firstDataRow="1" firstDataCol="1"/>
  <pivotFields count="14">
    <pivotField numFmtId="14" showAll="0"/>
    <pivotField showAll="0"/>
    <pivotField showAll="0">
      <items count="9">
        <item x="6"/>
        <item x="4"/>
        <item x="7"/>
        <item x="2"/>
        <item x="0"/>
        <item x="5"/>
        <item x="3"/>
        <item x="1"/>
        <item t="default"/>
      </items>
    </pivotField>
    <pivotField showAll="0"/>
    <pivotField showAll="0">
      <items count="6">
        <item x="3"/>
        <item x="2"/>
        <item x="4"/>
        <item x="1"/>
        <item x="0"/>
        <item t="default"/>
      </items>
    </pivotField>
    <pivotField showAll="0">
      <items count="8">
        <item x="1"/>
        <item x="0"/>
        <item x="5"/>
        <item x="2"/>
        <item x="3"/>
        <item x="6"/>
        <item x="4"/>
        <item t="default"/>
      </items>
    </pivotField>
    <pivotField showAll="0">
      <items count="4">
        <item x="2"/>
        <item x="0"/>
        <item x="1"/>
        <item t="default"/>
      </items>
    </pivotField>
    <pivotField axis="axisRow"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showAll="0">
      <items count="8">
        <item x="3"/>
        <item x="5"/>
        <item x="2"/>
        <item x="6"/>
        <item x="0"/>
        <item x="4"/>
        <item x="1"/>
        <item t="default"/>
      </items>
    </pivotField>
    <pivotField dataField="1" showAll="0"/>
    <pivotField showAll="0"/>
    <pivotField showAll="0"/>
    <pivotField showAll="0">
      <items count="5">
        <item x="0"/>
        <item x="1"/>
        <item x="2"/>
        <item x="3"/>
        <item t="default"/>
      </items>
    </pivotField>
    <pivotField dragToRow="0" dragToCol="0" dragToPage="0" showAll="0" defaultSubtotal="0"/>
  </pivotFields>
  <rowFields count="1">
    <field x="7"/>
  </rowFields>
  <rowItems count="5">
    <i>
      <x/>
    </i>
    <i>
      <x v="3"/>
    </i>
    <i>
      <x v="1"/>
    </i>
    <i>
      <x v="2"/>
    </i>
    <i t="grand">
      <x/>
    </i>
  </rowItems>
  <colItems count="1">
    <i/>
  </colItems>
  <dataFields count="1">
    <dataField name="Quantity Sold" fld="9" baseField="7" baseItem="0" numFmtId="3"/>
  </dataFields>
  <formats count="2">
    <format dxfId="18">
      <pivotArea outline="0" collapsedLevelsAreSubtotals="1" fieldPosition="0"/>
    </format>
    <format dxfId="17">
      <pivotArea outline="0" fieldPosition="0">
        <references count="1">
          <reference field="4294967294" count="1">
            <x v="0"/>
          </reference>
        </references>
      </pivotArea>
    </format>
  </formats>
  <chartFormats count="7">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7" count="1" selected="0">
            <x v="0"/>
          </reference>
        </references>
      </pivotArea>
    </chartFormat>
    <chartFormat chart="6" format="13">
      <pivotArea type="data" outline="0" fieldPosition="0">
        <references count="2">
          <reference field="4294967294" count="1" selected="0">
            <x v="0"/>
          </reference>
          <reference field="7" count="1" selected="0">
            <x v="3"/>
          </reference>
        </references>
      </pivotArea>
    </chartFormat>
    <chartFormat chart="6" format="14">
      <pivotArea type="data" outline="0" fieldPosition="0">
        <references count="2">
          <reference field="4294967294" count="1" selected="0">
            <x v="0"/>
          </reference>
          <reference field="7" count="1" selected="0">
            <x v="1"/>
          </reference>
        </references>
      </pivotArea>
    </chartFormat>
    <chartFormat chart="6" format="15">
      <pivotArea type="data" outline="0" fieldPosition="0">
        <references count="2">
          <reference field="4294967294" count="1" selected="0">
            <x v="0"/>
          </reference>
          <reference field="7" count="1" selected="0">
            <x v="2"/>
          </reference>
        </references>
      </pivotArea>
    </chartFormat>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8A3487-6F16-43CA-984D-C789F14FAD96}" name="Gender_by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Gender">
  <location ref="J18:K22" firstHeaderRow="1" firstDataRow="1" firstDataCol="1"/>
  <pivotFields count="14">
    <pivotField numFmtId="14" showAll="0"/>
    <pivotField showAll="0"/>
    <pivotField showAll="0">
      <items count="9">
        <item x="6"/>
        <item x="4"/>
        <item x="7"/>
        <item x="2"/>
        <item x="0"/>
        <item x="5"/>
        <item x="3"/>
        <item x="1"/>
        <item t="default"/>
      </items>
    </pivotField>
    <pivotField showAll="0"/>
    <pivotField showAll="0">
      <items count="6">
        <item x="3"/>
        <item x="2"/>
        <item x="4"/>
        <item x="1"/>
        <item x="0"/>
        <item t="default"/>
      </items>
    </pivotField>
    <pivotField showAll="0">
      <items count="8">
        <item x="1"/>
        <item x="0"/>
        <item x="5"/>
        <item x="2"/>
        <item x="3"/>
        <item x="6"/>
        <item x="4"/>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items count="5">
        <item x="2"/>
        <item x="0"/>
        <item x="3"/>
        <item x="1"/>
        <item t="default"/>
      </items>
    </pivotField>
    <pivotField showAll="0">
      <items count="8">
        <item x="3"/>
        <item x="5"/>
        <item x="2"/>
        <item x="6"/>
        <item x="0"/>
        <item x="4"/>
        <item x="1"/>
        <item t="default"/>
      </items>
    </pivotField>
    <pivotField showAll="0"/>
    <pivotField showAll="0"/>
    <pivotField dataField="1" showAll="0"/>
    <pivotField showAll="0">
      <items count="5">
        <item x="0"/>
        <item x="1"/>
        <item x="2"/>
        <item x="3"/>
        <item t="default"/>
      </items>
    </pivotField>
    <pivotField dragToRow="0" dragToCol="0" dragToPage="0" showAll="0" defaultSubtotal="0"/>
  </pivotFields>
  <rowFields count="1">
    <field x="6"/>
  </rowFields>
  <rowItems count="4">
    <i>
      <x v="2"/>
    </i>
    <i>
      <x/>
    </i>
    <i>
      <x v="1"/>
    </i>
    <i t="grand">
      <x/>
    </i>
  </rowItems>
  <colItems count="1">
    <i/>
  </colItems>
  <dataFields count="1">
    <dataField name="Revenue" fld="11" baseField="6" baseItem="0"/>
  </dataFields>
  <formats count="1">
    <format dxfId="19">
      <pivotArea outline="0" collapsedLevelsAreSubtotals="1" fieldPosition="0"/>
    </format>
  </formats>
  <chartFormats count="8">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6" count="1" selected="0">
            <x v="2"/>
          </reference>
        </references>
      </pivotArea>
    </chartFormat>
    <chartFormat chart="2" format="3">
      <pivotArea type="data" outline="0" fieldPosition="0">
        <references count="2">
          <reference field="4294967294" count="1" selected="0">
            <x v="0"/>
          </reference>
          <reference field="6" count="1" selected="0">
            <x v="0"/>
          </reference>
        </references>
      </pivotArea>
    </chartFormat>
    <chartFormat chart="2" format="4">
      <pivotArea type="data" outline="0" fieldPosition="0">
        <references count="2">
          <reference field="4294967294" count="1" selected="0">
            <x v="0"/>
          </reference>
          <reference field="6" count="1" selected="0">
            <x v="1"/>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6" count="1" selected="0">
            <x v="2"/>
          </reference>
        </references>
      </pivotArea>
    </chartFormat>
    <chartFormat chart="3" format="7">
      <pivotArea type="data" outline="0" fieldPosition="0">
        <references count="2">
          <reference field="4294967294" count="1" selected="0">
            <x v="0"/>
          </reference>
          <reference field="6" count="1" selected="0">
            <x v="0"/>
          </reference>
        </references>
      </pivotArea>
    </chartFormat>
    <chartFormat chart="3"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7F698B-909E-4115-B40C-BFE2F0D31AF7}" name="Product_Category_by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Category">
  <location ref="G26:H31" firstHeaderRow="1" firstDataRow="1" firstDataCol="1"/>
  <pivotFields count="14">
    <pivotField numFmtId="14" showAll="0"/>
    <pivotField showAll="0"/>
    <pivotField showAll="0">
      <items count="9">
        <item x="6"/>
        <item x="4"/>
        <item x="7"/>
        <item x="2"/>
        <item x="0"/>
        <item x="5"/>
        <item x="3"/>
        <item x="1"/>
        <item t="default"/>
      </items>
    </pivotField>
    <pivotField showAll="0"/>
    <pivotField showAll="0">
      <items count="6">
        <item x="3"/>
        <item x="2"/>
        <item x="4"/>
        <item x="1"/>
        <item x="0"/>
        <item t="default"/>
      </items>
    </pivotField>
    <pivotField showAll="0">
      <items count="8">
        <item x="1"/>
        <item x="0"/>
        <item x="5"/>
        <item x="2"/>
        <item x="3"/>
        <item x="6"/>
        <item x="4"/>
        <item t="default"/>
      </items>
    </pivotField>
    <pivotField showAll="0">
      <items count="4">
        <item x="2"/>
        <item x="0"/>
        <item x="1"/>
        <item t="default"/>
      </items>
    </pivotField>
    <pivotField axis="axisRow"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showAll="0">
      <items count="8">
        <item x="3"/>
        <item x="5"/>
        <item x="2"/>
        <item x="6"/>
        <item x="0"/>
        <item x="4"/>
        <item x="1"/>
        <item t="default"/>
      </items>
    </pivotField>
    <pivotField showAll="0"/>
    <pivotField showAll="0"/>
    <pivotField dataField="1" showAll="0"/>
    <pivotField showAll="0">
      <items count="5">
        <item x="0"/>
        <item x="1"/>
        <item x="2"/>
        <item x="3"/>
        <item t="default"/>
      </items>
    </pivotField>
    <pivotField dragToRow="0" dragToCol="0" dragToPage="0" showAll="0" defaultSubtotal="0"/>
  </pivotFields>
  <rowFields count="1">
    <field x="7"/>
  </rowFields>
  <rowItems count="5">
    <i>
      <x/>
    </i>
    <i>
      <x v="3"/>
    </i>
    <i>
      <x v="1"/>
    </i>
    <i>
      <x v="2"/>
    </i>
    <i t="grand">
      <x/>
    </i>
  </rowItems>
  <colItems count="1">
    <i/>
  </colItems>
  <dataFields count="1">
    <dataField name="Revenue" fld="11" baseField="7" baseItem="0"/>
  </dataFields>
  <formats count="1">
    <format dxfId="20">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7" count="1" selected="0">
            <x v="0"/>
          </reference>
        </references>
      </pivotArea>
    </chartFormat>
    <chartFormat chart="3" format="8">
      <pivotArea type="data" outline="0" fieldPosition="0">
        <references count="2">
          <reference field="4294967294" count="1" selected="0">
            <x v="0"/>
          </reference>
          <reference field="7" count="1" selected="0">
            <x v="3"/>
          </reference>
        </references>
      </pivotArea>
    </chartFormat>
    <chartFormat chart="3" format="9">
      <pivotArea type="data" outline="0" fieldPosition="0">
        <references count="2">
          <reference field="4294967294" count="1" selected="0">
            <x v="0"/>
          </reference>
          <reference field="7" count="1" selected="0">
            <x v="1"/>
          </reference>
        </references>
      </pivotArea>
    </chartFormat>
    <chartFormat chart="3" format="10">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D7DC9F-D37A-4217-953F-3DEBB85CDF12}" name="No._of_Transaction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7:K38" firstHeaderRow="1" firstDataRow="1" firstDataCol="0"/>
  <pivotFields count="14">
    <pivotField numFmtId="14" showAll="0"/>
    <pivotField showAll="0"/>
    <pivotField showAll="0">
      <items count="9">
        <item x="6"/>
        <item x="4"/>
        <item x="7"/>
        <item x="2"/>
        <item x="0"/>
        <item x="5"/>
        <item x="3"/>
        <item x="1"/>
        <item t="default"/>
      </items>
    </pivotField>
    <pivotField showAll="0"/>
    <pivotField showAll="0">
      <items count="6">
        <item x="3"/>
        <item x="2"/>
        <item x="4"/>
        <item x="1"/>
        <item x="0"/>
        <item t="default"/>
      </items>
    </pivotField>
    <pivotField showAll="0">
      <items count="8">
        <item x="1"/>
        <item x="0"/>
        <item x="5"/>
        <item x="2"/>
        <item x="3"/>
        <item x="6"/>
        <item x="4"/>
        <item t="default"/>
      </items>
    </pivotField>
    <pivotField showAll="0">
      <items count="4">
        <item x="2"/>
        <item x="0"/>
        <item x="1"/>
        <item t="default"/>
      </items>
    </pivotField>
    <pivotField showAll="0">
      <items count="5">
        <item x="2"/>
        <item x="0"/>
        <item x="3"/>
        <item x="1"/>
        <item t="default"/>
      </items>
    </pivotField>
    <pivotField showAll="0">
      <items count="8">
        <item x="3"/>
        <item x="5"/>
        <item x="2"/>
        <item x="6"/>
        <item x="0"/>
        <item x="4"/>
        <item x="1"/>
        <item t="default"/>
      </items>
    </pivotField>
    <pivotField showAll="0"/>
    <pivotField showAll="0"/>
    <pivotField showAll="0"/>
    <pivotField dataField="1" showAll="0">
      <items count="5">
        <item x="0"/>
        <item x="1"/>
        <item x="2"/>
        <item x="3"/>
        <item t="default"/>
      </items>
    </pivotField>
    <pivotField dragToRow="0" dragToCol="0" dragToPage="0" showAll="0" defaultSubtotal="0"/>
  </pivotFields>
  <rowItems count="1">
    <i/>
  </rowItems>
  <colItems count="1">
    <i/>
  </colItems>
  <dataFields count="1">
    <dataField name="No. of Transactions" fld="12" subtotal="count" baseField="0" baseItem="0"/>
  </dataFields>
  <formats count="2">
    <format dxfId="22">
      <pivotArea dataOnly="0" labelOnly="1" outline="0" axis="axisValues" fieldPosition="0"/>
    </format>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8F9252F-F2C8-4BE4-88BB-824F0032191D}" name="Product_Type_by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Type">
  <location ref="D26:E32" firstHeaderRow="1" firstDataRow="1" firstDataCol="1"/>
  <pivotFields count="14">
    <pivotField numFmtId="14" showAll="0"/>
    <pivotField showAll="0"/>
    <pivotField showAll="0">
      <items count="9">
        <item x="6"/>
        <item x="4"/>
        <item x="7"/>
        <item x="2"/>
        <item x="0"/>
        <item x="5"/>
        <item x="3"/>
        <item x="1"/>
        <item t="default"/>
      </items>
    </pivotField>
    <pivotField showAll="0"/>
    <pivotField axis="axisRow" showAll="0" sortType="descending">
      <items count="6">
        <item x="3"/>
        <item x="2"/>
        <item x="4"/>
        <item x="1"/>
        <item x="0"/>
        <item t="default"/>
      </items>
      <autoSortScope>
        <pivotArea dataOnly="0" outline="0" fieldPosition="0">
          <references count="1">
            <reference field="4294967294" count="1" selected="0">
              <x v="0"/>
            </reference>
          </references>
        </pivotArea>
      </autoSortScope>
    </pivotField>
    <pivotField showAll="0">
      <items count="8">
        <item x="1"/>
        <item x="0"/>
        <item x="5"/>
        <item x="2"/>
        <item x="3"/>
        <item x="6"/>
        <item x="4"/>
        <item t="default"/>
      </items>
    </pivotField>
    <pivotField showAll="0">
      <items count="4">
        <item x="2"/>
        <item x="0"/>
        <item x="1"/>
        <item t="default"/>
      </items>
    </pivotField>
    <pivotField showAll="0">
      <items count="5">
        <item x="2"/>
        <item x="0"/>
        <item x="3"/>
        <item x="1"/>
        <item t="default"/>
      </items>
    </pivotField>
    <pivotField showAll="0">
      <items count="8">
        <item x="3"/>
        <item x="5"/>
        <item x="2"/>
        <item x="6"/>
        <item x="0"/>
        <item x="4"/>
        <item x="1"/>
        <item t="default"/>
      </items>
    </pivotField>
    <pivotField showAll="0"/>
    <pivotField showAll="0"/>
    <pivotField dataField="1" showAll="0"/>
    <pivotField showAll="0">
      <items count="5">
        <item x="0"/>
        <item x="1"/>
        <item x="2"/>
        <item x="3"/>
        <item t="default"/>
      </items>
    </pivotField>
    <pivotField dragToRow="0" dragToCol="0" dragToPage="0" showAll="0" defaultSubtotal="0"/>
  </pivotFields>
  <rowFields count="1">
    <field x="4"/>
  </rowFields>
  <rowItems count="6">
    <i>
      <x v="3"/>
    </i>
    <i>
      <x v="1"/>
    </i>
    <i>
      <x v="2"/>
    </i>
    <i>
      <x/>
    </i>
    <i>
      <x v="4"/>
    </i>
    <i t="grand">
      <x/>
    </i>
  </rowItems>
  <colItems count="1">
    <i/>
  </colItems>
  <dataFields count="1">
    <dataField name="Revenue" fld="11" baseField="4" baseItem="0"/>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15D016-3B86-4596-8E6B-0FE288434A4C}" name="Total_Revenue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4">
    <pivotField numFmtId="14" showAll="0"/>
    <pivotField showAll="0"/>
    <pivotField showAll="0">
      <items count="9">
        <item x="6"/>
        <item x="4"/>
        <item x="7"/>
        <item x="2"/>
        <item x="0"/>
        <item x="5"/>
        <item x="3"/>
        <item x="1"/>
        <item t="default"/>
      </items>
    </pivotField>
    <pivotField showAll="0"/>
    <pivotField showAll="0">
      <items count="6">
        <item x="3"/>
        <item x="2"/>
        <item x="4"/>
        <item x="1"/>
        <item x="0"/>
        <item t="default"/>
      </items>
    </pivotField>
    <pivotField showAll="0">
      <items count="8">
        <item x="1"/>
        <item x="0"/>
        <item x="5"/>
        <item x="2"/>
        <item x="3"/>
        <item x="6"/>
        <item x="4"/>
        <item t="default"/>
      </items>
    </pivotField>
    <pivotField showAll="0">
      <items count="4">
        <item x="2"/>
        <item x="0"/>
        <item x="1"/>
        <item t="default"/>
      </items>
    </pivotField>
    <pivotField showAll="0">
      <items count="5">
        <item x="2"/>
        <item x="0"/>
        <item x="3"/>
        <item x="1"/>
        <item t="default"/>
      </items>
    </pivotField>
    <pivotField showAll="0">
      <items count="8">
        <item x="3"/>
        <item x="5"/>
        <item x="2"/>
        <item x="6"/>
        <item x="0"/>
        <item x="4"/>
        <item x="1"/>
        <item t="default"/>
      </items>
    </pivotField>
    <pivotField showAll="0"/>
    <pivotField showAll="0"/>
    <pivotField dataField="1" showAll="0"/>
    <pivotField showAll="0">
      <items count="5">
        <item x="0"/>
        <item x="1"/>
        <item x="2"/>
        <item x="3"/>
        <item t="default"/>
      </items>
    </pivotField>
    <pivotField dragToRow="0" dragToCol="0" dragToPage="0" showAll="0" defaultSubtotal="0"/>
  </pivotFields>
  <rowItems count="1">
    <i/>
  </rowItems>
  <colItems count="1">
    <i/>
  </colItems>
  <dataFields count="1">
    <dataField name="Total Revenue" fld="11" baseField="0" baseItem="0" numFmtId="164"/>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E5293EE-73B2-4FDD-A296-D11455C73CC6}" name="Total_Quantity_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numFmtId="14" showAll="0"/>
    <pivotField showAll="0"/>
    <pivotField showAll="0">
      <items count="9">
        <item x="6"/>
        <item x="4"/>
        <item x="7"/>
        <item x="2"/>
        <item x="0"/>
        <item x="5"/>
        <item x="3"/>
        <item x="1"/>
        <item t="default"/>
      </items>
    </pivotField>
    <pivotField showAll="0"/>
    <pivotField showAll="0">
      <items count="6">
        <item x="3"/>
        <item x="2"/>
        <item x="4"/>
        <item x="1"/>
        <item x="0"/>
        <item t="default"/>
      </items>
    </pivotField>
    <pivotField showAll="0">
      <items count="8">
        <item x="1"/>
        <item x="0"/>
        <item x="5"/>
        <item x="2"/>
        <item x="3"/>
        <item x="6"/>
        <item x="4"/>
        <item t="default"/>
      </items>
    </pivotField>
    <pivotField showAll="0">
      <items count="4">
        <item x="2"/>
        <item x="0"/>
        <item x="1"/>
        <item t="default"/>
      </items>
    </pivotField>
    <pivotField showAll="0">
      <items count="5">
        <item x="2"/>
        <item x="0"/>
        <item x="3"/>
        <item x="1"/>
        <item t="default"/>
      </items>
    </pivotField>
    <pivotField showAll="0">
      <items count="8">
        <item x="3"/>
        <item x="5"/>
        <item x="2"/>
        <item x="6"/>
        <item x="0"/>
        <item x="4"/>
        <item x="1"/>
        <item t="default"/>
      </items>
    </pivotField>
    <pivotField dataField="1" showAll="0"/>
    <pivotField showAll="0"/>
    <pivotField showAll="0"/>
    <pivotField showAll="0">
      <items count="5">
        <item x="0"/>
        <item x="1"/>
        <item x="2"/>
        <item x="3"/>
        <item t="default"/>
      </items>
    </pivotField>
    <pivotField dragToRow="0" dragToCol="0" dragToPage="0" showAll="0" defaultSubtotal="0"/>
  </pivotFields>
  <rowItems count="1">
    <i/>
  </rowItems>
  <colItems count="1">
    <i/>
  </colItems>
  <dataFields count="1">
    <dataField name="Total Quantity Sold" fld="9" baseField="0" baseItem="0" numFmtId="166"/>
  </dataFields>
  <formats count="2">
    <format dxfId="26">
      <pivotArea dataOnly="0" labelOnly="1" outline="0" axis="axisValues" fieldPosition="0"/>
    </format>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DC24421-97F1-443F-AE06-61352C0A0C44}" name="Product_Type_by_Qty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 Type">
  <location ref="A29:B35" firstHeaderRow="1" firstDataRow="1" firstDataCol="1"/>
  <pivotFields count="14">
    <pivotField numFmtId="14" showAll="0"/>
    <pivotField showAll="0"/>
    <pivotField showAll="0">
      <items count="9">
        <item x="6"/>
        <item x="4"/>
        <item x="7"/>
        <item x="2"/>
        <item x="0"/>
        <item x="5"/>
        <item x="3"/>
        <item x="1"/>
        <item t="default"/>
      </items>
    </pivotField>
    <pivotField showAll="0"/>
    <pivotField axis="axisRow" showAll="0" sortType="descending">
      <items count="6">
        <item x="3"/>
        <item x="2"/>
        <item x="4"/>
        <item x="1"/>
        <item x="0"/>
        <item t="default"/>
      </items>
      <autoSortScope>
        <pivotArea dataOnly="0" outline="0" fieldPosition="0">
          <references count="1">
            <reference field="4294967294" count="1" selected="0">
              <x v="0"/>
            </reference>
          </references>
        </pivotArea>
      </autoSortScope>
    </pivotField>
    <pivotField showAll="0">
      <items count="8">
        <item x="1"/>
        <item x="0"/>
        <item x="5"/>
        <item x="2"/>
        <item x="3"/>
        <item x="6"/>
        <item x="4"/>
        <item t="default"/>
      </items>
    </pivotField>
    <pivotField showAll="0">
      <items count="4">
        <item x="2"/>
        <item x="0"/>
        <item x="1"/>
        <item t="default"/>
      </items>
    </pivotField>
    <pivotField showAll="0">
      <items count="5">
        <item x="2"/>
        <item x="0"/>
        <item x="3"/>
        <item x="1"/>
        <item t="default"/>
      </items>
    </pivotField>
    <pivotField showAll="0">
      <items count="8">
        <item x="3"/>
        <item x="5"/>
        <item x="2"/>
        <item x="6"/>
        <item x="0"/>
        <item x="4"/>
        <item x="1"/>
        <item t="default"/>
      </items>
    </pivotField>
    <pivotField dataField="1" showAll="0"/>
    <pivotField showAll="0"/>
    <pivotField showAll="0"/>
    <pivotField showAll="0">
      <items count="5">
        <item x="0"/>
        <item x="1"/>
        <item x="2"/>
        <item x="3"/>
        <item t="default"/>
      </items>
    </pivotField>
    <pivotField dragToRow="0" dragToCol="0" dragToPage="0" showAll="0" defaultSubtotal="0"/>
  </pivotFields>
  <rowFields count="1">
    <field x="4"/>
  </rowFields>
  <rowItems count="6">
    <i>
      <x v="3"/>
    </i>
    <i>
      <x v="1"/>
    </i>
    <i>
      <x v="2"/>
    </i>
    <i>
      <x/>
    </i>
    <i>
      <x v="4"/>
    </i>
    <i t="grand">
      <x/>
    </i>
  </rowItems>
  <colItems count="1">
    <i/>
  </colItems>
  <dataFields count="1">
    <dataField name="Quantity Sold" fld="9" baseField="4" baseItem="0" numFmtId="3"/>
  </dataFields>
  <formats count="2">
    <format dxfId="28">
      <pivotArea outline="0" collapsedLevelsAreSubtotals="1" fieldPosition="0"/>
    </format>
    <format dxfId="2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B06C4D8-81C1-434B-BF8A-58BFE04B8F3E}" name="Products_by_Qty 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Name">
  <location ref="H3:I14" firstHeaderRow="1" firstDataRow="1" firstDataCol="1"/>
  <pivotFields count="14">
    <pivotField numFmtId="14" showAll="0"/>
    <pivotField showAll="0"/>
    <pivotField showAll="0">
      <items count="9">
        <item x="6"/>
        <item x="4"/>
        <item x="7"/>
        <item x="2"/>
        <item x="0"/>
        <item x="5"/>
        <item x="3"/>
        <item x="1"/>
        <item t="default"/>
      </items>
    </pivotField>
    <pivotField axis="axisRow" showAll="0" sortType="descending">
      <items count="11">
        <item x="7"/>
        <item x="0"/>
        <item x="4"/>
        <item x="8"/>
        <item x="2"/>
        <item x="3"/>
        <item x="5"/>
        <item x="9"/>
        <item x="6"/>
        <item x="1"/>
        <item t="default"/>
      </items>
      <autoSortScope>
        <pivotArea dataOnly="0" outline="0" fieldPosition="0">
          <references count="1">
            <reference field="4294967294" count="1" selected="0">
              <x v="0"/>
            </reference>
          </references>
        </pivotArea>
      </autoSortScope>
    </pivotField>
    <pivotField showAll="0">
      <items count="6">
        <item x="3"/>
        <item x="2"/>
        <item x="4"/>
        <item x="1"/>
        <item x="0"/>
        <item t="default"/>
      </items>
    </pivotField>
    <pivotField showAll="0">
      <items count="8">
        <item x="1"/>
        <item x="0"/>
        <item x="5"/>
        <item x="2"/>
        <item x="3"/>
        <item x="6"/>
        <item x="4"/>
        <item t="default"/>
      </items>
    </pivotField>
    <pivotField showAll="0">
      <items count="4">
        <item x="2"/>
        <item x="0"/>
        <item x="1"/>
        <item t="default"/>
      </items>
    </pivotField>
    <pivotField showAll="0">
      <items count="5">
        <item x="2"/>
        <item x="0"/>
        <item x="3"/>
        <item x="1"/>
        <item t="default"/>
      </items>
    </pivotField>
    <pivotField showAll="0">
      <items count="8">
        <item x="3"/>
        <item x="5"/>
        <item x="2"/>
        <item x="6"/>
        <item x="0"/>
        <item x="4"/>
        <item x="1"/>
        <item t="default"/>
      </items>
    </pivotField>
    <pivotField dataField="1" showAll="0"/>
    <pivotField showAll="0"/>
    <pivotField showAll="0"/>
    <pivotField showAll="0">
      <items count="5">
        <item x="0"/>
        <item x="1"/>
        <item x="2"/>
        <item x="3"/>
        <item t="default"/>
      </items>
    </pivotField>
    <pivotField dragToRow="0" dragToCol="0" dragToPage="0" showAll="0" defaultSubtotal="0"/>
  </pivotFields>
  <rowFields count="1">
    <field x="3"/>
  </rowFields>
  <rowItems count="11">
    <i>
      <x v="6"/>
    </i>
    <i>
      <x v="5"/>
    </i>
    <i>
      <x v="9"/>
    </i>
    <i>
      <x v="7"/>
    </i>
    <i>
      <x v="2"/>
    </i>
    <i>
      <x v="4"/>
    </i>
    <i>
      <x v="8"/>
    </i>
    <i>
      <x/>
    </i>
    <i>
      <x v="3"/>
    </i>
    <i>
      <x v="1"/>
    </i>
    <i t="grand">
      <x/>
    </i>
  </rowItems>
  <colItems count="1">
    <i/>
  </colItems>
  <dataFields count="1">
    <dataField name="Quantity Sold" fld="9" baseField="3" baseItem="0" numFmtId="3"/>
  </dataFields>
  <formats count="3">
    <format dxfId="31">
      <pivotArea outline="0" collapsedLevelsAreSubtotals="1" fieldPosition="0"/>
    </format>
    <format dxfId="30">
      <pivotArea dataOnly="0" labelOnly="1" outline="0" axis="axisValues" fieldPosition="0"/>
    </format>
    <format dxfId="2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551CDC6-9E6E-4B1C-9A25-3DBD3FCBFCED}" name="Brand_by_Qty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p 5 Brand">
  <location ref="A18:B26" firstHeaderRow="1" firstDataRow="1" firstDataCol="1"/>
  <pivotFields count="14">
    <pivotField numFmtId="14" showAll="0"/>
    <pivotField showAll="0"/>
    <pivotField showAll="0">
      <items count="9">
        <item x="6"/>
        <item x="4"/>
        <item x="7"/>
        <item x="2"/>
        <item x="0"/>
        <item x="5"/>
        <item x="3"/>
        <item x="1"/>
        <item t="default"/>
      </items>
    </pivotField>
    <pivotField showAll="0"/>
    <pivotField showAll="0">
      <items count="6">
        <item x="3"/>
        <item x="2"/>
        <item x="4"/>
        <item x="1"/>
        <item x="0"/>
        <item t="default"/>
      </items>
    </pivotField>
    <pivotField axis="axisRow" showAll="0" sortType="descending">
      <items count="8">
        <item x="1"/>
        <item x="0"/>
        <item x="5"/>
        <item x="2"/>
        <item x="3"/>
        <item x="6"/>
        <item x="4"/>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3"/>
        <item x="1"/>
        <item t="default"/>
      </items>
    </pivotField>
    <pivotField showAll="0">
      <items count="8">
        <item x="3"/>
        <item x="5"/>
        <item x="2"/>
        <item x="6"/>
        <item x="0"/>
        <item x="4"/>
        <item x="1"/>
        <item t="default"/>
      </items>
    </pivotField>
    <pivotField dataField="1" showAll="0"/>
    <pivotField showAll="0"/>
    <pivotField showAll="0"/>
    <pivotField showAll="0">
      <items count="5">
        <item x="0"/>
        <item x="1"/>
        <item x="2"/>
        <item x="3"/>
        <item t="default"/>
      </items>
    </pivotField>
    <pivotField dragToRow="0" dragToCol="0" dragToPage="0" showAll="0" defaultSubtotal="0"/>
  </pivotFields>
  <rowFields count="1">
    <field x="5"/>
  </rowFields>
  <rowItems count="8">
    <i>
      <x v="3"/>
    </i>
    <i>
      <x/>
    </i>
    <i>
      <x v="4"/>
    </i>
    <i>
      <x v="5"/>
    </i>
    <i>
      <x v="6"/>
    </i>
    <i>
      <x v="2"/>
    </i>
    <i>
      <x v="1"/>
    </i>
    <i t="grand">
      <x/>
    </i>
  </rowItems>
  <colItems count="1">
    <i/>
  </colItems>
  <dataFields count="1">
    <dataField name="Quantity Sold" fld="9" baseField="5" baseItem="0" numFmtId="3"/>
  </dataFields>
  <formats count="2">
    <format dxfId="33">
      <pivotArea outline="0" collapsedLevelsAreSubtotals="1" fieldPosition="0"/>
    </format>
    <format dxfId="3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045E52A-6982-496C-898F-B3896331BAC6}" name="Sum_of _Avg _Unit _Pri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1:K42" firstHeaderRow="1" firstDataRow="1" firstDataCol="0"/>
  <pivotFields count="14">
    <pivotField numFmtId="14" showAll="0"/>
    <pivotField showAll="0"/>
    <pivotField showAll="0">
      <items count="9">
        <item x="6"/>
        <item x="4"/>
        <item x="7"/>
        <item x="2"/>
        <item x="0"/>
        <item x="5"/>
        <item x="3"/>
        <item x="1"/>
        <item t="default"/>
      </items>
    </pivotField>
    <pivotField showAll="0"/>
    <pivotField showAll="0">
      <items count="6">
        <item x="3"/>
        <item x="2"/>
        <item x="4"/>
        <item x="1"/>
        <item x="0"/>
        <item t="default"/>
      </items>
    </pivotField>
    <pivotField showAll="0">
      <items count="8">
        <item x="1"/>
        <item x="0"/>
        <item x="5"/>
        <item x="2"/>
        <item x="3"/>
        <item x="6"/>
        <item x="4"/>
        <item t="default"/>
      </items>
    </pivotField>
    <pivotField showAll="0">
      <items count="4">
        <item x="2"/>
        <item x="0"/>
        <item x="1"/>
        <item t="default"/>
      </items>
    </pivotField>
    <pivotField showAll="0">
      <items count="5">
        <item x="2"/>
        <item x="0"/>
        <item x="3"/>
        <item x="1"/>
        <item t="default"/>
      </items>
    </pivotField>
    <pivotField showAll="0">
      <items count="8">
        <item x="3"/>
        <item x="5"/>
        <item x="2"/>
        <item x="6"/>
        <item x="0"/>
        <item x="4"/>
        <item x="1"/>
        <item t="default"/>
      </items>
    </pivotField>
    <pivotField showAll="0"/>
    <pivotField showAll="0"/>
    <pivotField showAll="0"/>
    <pivotField showAll="0">
      <items count="5">
        <item x="0"/>
        <item x="1"/>
        <item x="2"/>
        <item x="3"/>
        <item t="default"/>
      </items>
    </pivotField>
    <pivotField dataField="1" dragToRow="0" dragToCol="0" dragToPage="0" showAll="0" defaultSubtotal="0"/>
  </pivotFields>
  <rowItems count="1">
    <i/>
  </rowItems>
  <colItems count="1">
    <i/>
  </colItems>
  <dataFields count="1">
    <dataField name="Sum of Avg Unit Price" fld="13" baseField="0" baseItem="0" numFmtId="167"/>
  </dataFields>
  <formats count="3">
    <format dxfId="36">
      <pivotArea dataOnly="0" labelOnly="1" outline="0" axis="axisValues" fieldPosition="0"/>
    </format>
    <format dxfId="35">
      <pivotArea outline="0" collapsedLevelsAreSubtotals="1" fieldPosition="0"/>
    </format>
    <format dxfId="3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BCA9803-708D-4AEB-B7C4-C18AA7811BF3}" name="Gender­_by_Qty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location ref="G18:H22" firstHeaderRow="1" firstDataRow="1" firstDataCol="1"/>
  <pivotFields count="14">
    <pivotField numFmtId="14" showAll="0"/>
    <pivotField showAll="0"/>
    <pivotField showAll="0">
      <items count="9">
        <item x="6"/>
        <item x="4"/>
        <item x="7"/>
        <item x="2"/>
        <item x="0"/>
        <item x="5"/>
        <item x="3"/>
        <item x="1"/>
        <item t="default"/>
      </items>
    </pivotField>
    <pivotField showAll="0"/>
    <pivotField showAll="0">
      <items count="6">
        <item x="3"/>
        <item x="2"/>
        <item x="4"/>
        <item x="1"/>
        <item x="0"/>
        <item t="default"/>
      </items>
    </pivotField>
    <pivotField showAll="0">
      <items count="8">
        <item x="1"/>
        <item x="0"/>
        <item x="5"/>
        <item x="2"/>
        <item x="3"/>
        <item x="6"/>
        <item x="4"/>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items count="5">
        <item x="2"/>
        <item x="0"/>
        <item x="3"/>
        <item x="1"/>
        <item t="default"/>
      </items>
    </pivotField>
    <pivotField showAll="0">
      <items count="8">
        <item x="3"/>
        <item x="5"/>
        <item x="2"/>
        <item x="6"/>
        <item x="0"/>
        <item x="4"/>
        <item x="1"/>
        <item t="default"/>
      </items>
    </pivotField>
    <pivotField dataField="1" showAll="0"/>
    <pivotField showAll="0"/>
    <pivotField showAll="0"/>
    <pivotField showAll="0">
      <items count="5">
        <item x="0"/>
        <item x="1"/>
        <item x="2"/>
        <item x="3"/>
        <item t="default"/>
      </items>
    </pivotField>
    <pivotField dragToRow="0" dragToCol="0" dragToPage="0" showAll="0" defaultSubtotal="0"/>
  </pivotFields>
  <rowFields count="1">
    <field x="6"/>
  </rowFields>
  <rowItems count="4">
    <i>
      <x v="2"/>
    </i>
    <i>
      <x/>
    </i>
    <i>
      <x v="1"/>
    </i>
    <i t="grand">
      <x/>
    </i>
  </rowItems>
  <colItems count="1">
    <i/>
  </colItems>
  <dataFields count="1">
    <dataField name="Quantity Sold" fld="9" baseField="6" baseItem="0" numFmtId="3"/>
  </dataFields>
  <formats count="2">
    <format dxfId="38">
      <pivotArea outline="0" collapsedLevelsAreSubtotals="1" fieldPosition="0"/>
    </format>
    <format dxfId="3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CB25CB9-2881-4590-88EF-F8601EFC3774}" name="Brand_by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Top 5 Brand">
  <location ref="A7:B15" firstHeaderRow="1" firstDataRow="1" firstDataCol="1"/>
  <pivotFields count="14">
    <pivotField numFmtId="14" showAll="0"/>
    <pivotField showAll="0"/>
    <pivotField showAll="0">
      <items count="9">
        <item x="6"/>
        <item x="4"/>
        <item x="7"/>
        <item x="2"/>
        <item x="0"/>
        <item x="5"/>
        <item x="3"/>
        <item x="1"/>
        <item t="default"/>
      </items>
    </pivotField>
    <pivotField showAll="0"/>
    <pivotField showAll="0">
      <items count="6">
        <item x="3"/>
        <item x="2"/>
        <item x="4"/>
        <item x="1"/>
        <item x="0"/>
        <item t="default"/>
      </items>
    </pivotField>
    <pivotField axis="axisRow" showAll="0" sortType="descending">
      <items count="8">
        <item x="1"/>
        <item x="0"/>
        <item x="5"/>
        <item x="2"/>
        <item x="3"/>
        <item x="6"/>
        <item x="4"/>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3"/>
        <item x="1"/>
        <item t="default"/>
      </items>
    </pivotField>
    <pivotField showAll="0">
      <items count="8">
        <item x="3"/>
        <item x="5"/>
        <item x="2"/>
        <item x="6"/>
        <item x="0"/>
        <item x="4"/>
        <item x="1"/>
        <item t="default"/>
      </items>
    </pivotField>
    <pivotField showAll="0"/>
    <pivotField showAll="0"/>
    <pivotField dataField="1" showAll="0"/>
    <pivotField showAll="0">
      <items count="5">
        <item x="0"/>
        <item x="1"/>
        <item x="2"/>
        <item x="3"/>
        <item t="default"/>
      </items>
    </pivotField>
    <pivotField dragToRow="0" dragToCol="0" dragToPage="0" showAll="0" defaultSubtotal="0"/>
  </pivotFields>
  <rowFields count="1">
    <field x="5"/>
  </rowFields>
  <rowItems count="8">
    <i>
      <x v="3"/>
    </i>
    <i>
      <x/>
    </i>
    <i>
      <x v="4"/>
    </i>
    <i>
      <x v="5"/>
    </i>
    <i>
      <x v="6"/>
    </i>
    <i>
      <x v="2"/>
    </i>
    <i>
      <x v="1"/>
    </i>
    <i t="grand">
      <x/>
    </i>
  </rowItems>
  <colItems count="1">
    <i/>
  </colItems>
  <dataFields count="1">
    <dataField name="Revenue" fld="11" baseField="5" baseItem="0"/>
  </dataFields>
  <formats count="1">
    <format dxfId="39">
      <pivotArea outline="0" collapsedLevelsAreSubtotals="1" fieldPosition="0"/>
    </format>
  </format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3"/>
          </reference>
        </references>
      </pivotArea>
    </chartFormat>
    <chartFormat chart="3" format="4">
      <pivotArea type="data" outline="0" fieldPosition="0">
        <references count="2">
          <reference field="4294967294" count="1" selected="0">
            <x v="0"/>
          </reference>
          <reference field="5" count="1" selected="0">
            <x v="0"/>
          </reference>
        </references>
      </pivotArea>
    </chartFormat>
    <chartFormat chart="3" format="5">
      <pivotArea type="data" outline="0" fieldPosition="0">
        <references count="2">
          <reference field="4294967294" count="1" selected="0">
            <x v="0"/>
          </reference>
          <reference field="5" count="1" selected="0">
            <x v="4"/>
          </reference>
        </references>
      </pivotArea>
    </chartFormat>
    <chartFormat chart="3" format="6">
      <pivotArea type="data" outline="0" fieldPosition="0">
        <references count="2">
          <reference field="4294967294" count="1" selected="0">
            <x v="0"/>
          </reference>
          <reference field="5" count="1" selected="0">
            <x v="5"/>
          </reference>
        </references>
      </pivotArea>
    </chartFormat>
    <chartFormat chart="3" format="7">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CE1F4BC6-DAEB-43BB-8444-C489F92CE94A}" sourceName="Product Type">
  <pivotTables>
    <pivotTable tabId="2" name="Month_on_Month_Analysis"/>
    <pivotTable tabId="2" name="Brand_by_Qtysold"/>
    <pivotTable tabId="2" name="Brand_by_Revenue"/>
    <pivotTable tabId="2" name="Gender­_by_Qtysold"/>
    <pivotTable tabId="2" name="Gender_by_Revenue"/>
    <pivotTable tabId="2" name="Payment_Mode_by_Revenue"/>
    <pivotTable tabId="2" name="No._of_Transactions"/>
    <pivotTable tabId="2" name="Sum_of _Avg _Unit _Price"/>
    <pivotTable tabId="2" name="Revenue_by_country"/>
    <pivotTable tabId="2" name="Product_Category_by_Qtysold"/>
    <pivotTable tabId="2" name="Product_Category_by_Revenue"/>
    <pivotTable tabId="2" name="Product_Type_by_Qtysold"/>
    <pivotTable tabId="2" name="Product_Type_by_Revenue"/>
    <pivotTable tabId="2" name="Products_by_Qty sold"/>
    <pivotTable tabId="2" name="Products_by_Revenue"/>
    <pivotTable tabId="2" name="Total_Quantity_Sold"/>
    <pivotTable tabId="2" name="Total_Revenue "/>
  </pivotTables>
  <data>
    <tabular pivotCacheId="879814361">
      <items count="5">
        <i x="3" s="1"/>
        <i x="2" s="1"/>
        <i x="4"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258D5A3-D0F9-4A9B-8E8B-2AAC891D0E7D}" sourceName="Gender">
  <pivotTables>
    <pivotTable tabId="2" name="Month_on_Month_Analysis"/>
    <pivotTable tabId="2" name="Brand_by_Qtysold"/>
    <pivotTable tabId="2" name="Brand_by_Revenue"/>
    <pivotTable tabId="2" name="Gender­_by_Qtysold"/>
    <pivotTable tabId="2" name="Gender_by_Revenue"/>
    <pivotTable tabId="2" name="Payment_Mode_by_Revenue"/>
    <pivotTable tabId="2" name="No._of_Transactions"/>
    <pivotTable tabId="2" name="Sum_of _Avg _Unit _Price"/>
    <pivotTable tabId="2" name="Revenue_by_country"/>
    <pivotTable tabId="2" name="Product_Category_by_Qtysold"/>
    <pivotTable tabId="2" name="Product_Category_by_Revenue"/>
    <pivotTable tabId="2" name="Product_Type_by_Qtysold"/>
    <pivotTable tabId="2" name="Product_Type_by_Revenue"/>
    <pivotTable tabId="2" name="Products_by_Qty sold"/>
    <pivotTable tabId="2" name="Products_by_Revenue"/>
    <pivotTable tabId="2" name="Total_Quantity_Sold"/>
    <pivotTable tabId="2" name="Total_Revenue "/>
  </pivotTables>
  <data>
    <tabular pivotCacheId="87981436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5800CA6-8D26-49FE-BA0D-888810EA1AA8}" sourceName="Category">
  <pivotTables>
    <pivotTable tabId="2" name="Month_on_Month_Analysis"/>
    <pivotTable tabId="2" name="Brand_by_Qtysold"/>
    <pivotTable tabId="2" name="Brand_by_Revenue"/>
    <pivotTable tabId="2" name="Gender­_by_Qtysold"/>
    <pivotTable tabId="2" name="Gender_by_Revenue"/>
    <pivotTable tabId="2" name="Payment_Mode_by_Revenue"/>
    <pivotTable tabId="2" name="No._of_Transactions"/>
    <pivotTable tabId="2" name="Sum_of _Avg _Unit _Price"/>
    <pivotTable tabId="2" name="Revenue_by_country"/>
    <pivotTable tabId="2" name="Product_Category_by_Qtysold"/>
    <pivotTable tabId="2" name="Product_Category_by_Revenue"/>
    <pivotTable tabId="2" name="Product_Type_by_Qtysold"/>
    <pivotTable tabId="2" name="Product_Type_by_Revenue"/>
    <pivotTable tabId="2" name="Products_by_Qty sold"/>
    <pivotTable tabId="2" name="Products_by_Revenue"/>
    <pivotTable tabId="2" name="Total_Quantity_Sold"/>
    <pivotTable tabId="2" name="Total_Revenue "/>
  </pivotTables>
  <data>
    <tabular pivotCacheId="879814361">
      <items count="4">
        <i x="2" s="1"/>
        <i x="0"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D8A47C1-3D90-46BF-8EAE-B6AFB5F32323}" sourceName="Country">
  <pivotTables>
    <pivotTable tabId="2" name="Month_on_Month_Analysis"/>
    <pivotTable tabId="2" name="Brand_by_Qtysold"/>
    <pivotTable tabId="2" name="Brand_by_Revenue"/>
    <pivotTable tabId="2" name="Gender­_by_Qtysold"/>
    <pivotTable tabId="2" name="Gender_by_Revenue"/>
    <pivotTable tabId="2" name="Payment_Mode_by_Revenue"/>
    <pivotTable tabId="2" name="No._of_Transactions"/>
    <pivotTable tabId="2" name="Sum_of _Avg _Unit _Price"/>
    <pivotTable tabId="2" name="Revenue_by_country"/>
    <pivotTable tabId="2" name="Product_Category_by_Qtysold"/>
    <pivotTable tabId="2" name="Product_Category_by_Revenue"/>
    <pivotTable tabId="2" name="Product_Type_by_Qtysold"/>
    <pivotTable tabId="2" name="Product_Type_by_Revenue"/>
    <pivotTable tabId="2" name="Products_by_Qty sold"/>
    <pivotTable tabId="2" name="Products_by_Revenue"/>
    <pivotTable tabId="2" name="Total_Quantity_Sold"/>
    <pivotTable tabId="2" name="Total_Revenue "/>
  </pivotTables>
  <data>
    <tabular pivotCacheId="879814361">
      <items count="7">
        <i x="3" s="1"/>
        <i x="5" s="1"/>
        <i x="2" s="1"/>
        <i x="6" s="1"/>
        <i x="0" s="1"/>
        <i x="4"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2A411FA5-F0EB-42B5-839A-EFB07C46A03A}" sourceName="Payment Mode">
  <pivotTables>
    <pivotTable tabId="2" name="Month_on_Month_Analysis"/>
    <pivotTable tabId="2" name="Brand_by_Qtysold"/>
    <pivotTable tabId="2" name="Brand_by_Revenue"/>
    <pivotTable tabId="2" name="Gender­_by_Qtysold"/>
    <pivotTable tabId="2" name="Gender_by_Revenue"/>
    <pivotTable tabId="2" name="Payment_Mode_by_Revenue"/>
    <pivotTable tabId="2" name="No._of_Transactions"/>
    <pivotTable tabId="2" name="Sum_of _Avg _Unit _Price"/>
    <pivotTable tabId="2" name="Revenue_by_country"/>
    <pivotTable tabId="2" name="Product_Category_by_Qtysold"/>
    <pivotTable tabId="2" name="Product_Category_by_Revenue"/>
    <pivotTable tabId="2" name="Product_Type_by_Qtysold"/>
    <pivotTable tabId="2" name="Product_Type_by_Revenue"/>
    <pivotTable tabId="2" name="Products_by_Qty sold"/>
    <pivotTable tabId="2" name="Products_by_Revenue"/>
    <pivotTable tabId="2" name="Total_Quantity_Sold"/>
    <pivotTable tabId="2" name="Total_Revenue "/>
  </pivotTables>
  <data>
    <tabular pivotCacheId="879814361">
      <items count="4">
        <i x="0" s="1"/>
        <i x="1" s="1"/>
        <i x="2"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C5E2446-F50E-46E8-82CC-A24199215285}" sourceName="Month">
  <pivotTables>
    <pivotTable tabId="2" name="Month_on_Month_Analysis"/>
    <pivotTable tabId="2" name="Brand_by_Qtysold"/>
    <pivotTable tabId="2" name="Brand_by_Revenue"/>
    <pivotTable tabId="2" name="Gender­_by_Qtysold"/>
    <pivotTable tabId="2" name="Gender_by_Revenue"/>
    <pivotTable tabId="2" name="Payment_Mode_by_Revenue"/>
    <pivotTable tabId="2" name="No._of_Transactions"/>
    <pivotTable tabId="2" name="Sum_of _Avg _Unit _Price"/>
    <pivotTable tabId="2" name="Revenue_by_country"/>
    <pivotTable tabId="2" name="Product_Category_by_Qtysold"/>
    <pivotTable tabId="2" name="Product_Category_by_Revenue"/>
    <pivotTable tabId="2" name="Product_Type_by_Qtysold"/>
    <pivotTable tabId="2" name="Product_Type_by_Revenue"/>
    <pivotTable tabId="2" name="Products_by_Qty sold"/>
    <pivotTable tabId="2" name="Products_by_Revenue"/>
    <pivotTable tabId="2" name="Total_Quantity_Sold"/>
    <pivotTable tabId="2" name="Total_Revenue "/>
  </pivotTables>
  <data>
    <tabular pivotCacheId="879814361">
      <items count="8">
        <i x="6" s="1"/>
        <i x="4" s="1"/>
        <i x="7" s="1"/>
        <i x="2" s="1"/>
        <i x="0" s="1"/>
        <i x="5" s="1"/>
        <i x="3"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96AF3BF0-03B9-4FF6-9C04-22F16B9A1EC3}" sourceName="Brand">
  <pivotTables>
    <pivotTable tabId="2" name="Month_on_Month_Analysis"/>
    <pivotTable tabId="2" name="Brand_by_Qtysold"/>
    <pivotTable tabId="2" name="Brand_by_Revenue"/>
    <pivotTable tabId="2" name="Gender­_by_Qtysold"/>
    <pivotTable tabId="2" name="Gender_by_Revenue"/>
    <pivotTable tabId="2" name="Payment_Mode_by_Revenue"/>
    <pivotTable tabId="2" name="No._of_Transactions"/>
    <pivotTable tabId="2" name="Sum_of _Avg _Unit _Price"/>
    <pivotTable tabId="2" name="Revenue_by_country"/>
    <pivotTable tabId="2" name="Product_Category_by_Qtysold"/>
    <pivotTable tabId="2" name="Product_Category_by_Revenue"/>
    <pivotTable tabId="2" name="Product_Type_by_Qtysold"/>
    <pivotTable tabId="2" name="Product_Type_by_Revenue"/>
    <pivotTable tabId="2" name="Products_by_Qty sold"/>
    <pivotTable tabId="2" name="Products_by_Revenue"/>
    <pivotTable tabId="2" name="Total_Quantity_Sold"/>
    <pivotTable tabId="2" name="Total_Revenue "/>
  </pivotTables>
  <data>
    <tabular pivotCacheId="879814361">
      <items count="7">
        <i x="1" s="1"/>
        <i x="0" s="1"/>
        <i x="5" s="1"/>
        <i x="2" s="1"/>
        <i x="3" s="1"/>
        <i x="6"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xr10:uid="{75A60B72-7C59-476A-9699-D9A811494C02}" cache="Slicer_Product_Type" caption="Product Type" rowHeight="241300"/>
  <slicer name="Gender" xr10:uid="{7EFC80EC-F153-4B06-810D-406D61B4E981}" cache="Slicer_Gender" caption="Gender" rowHeight="241300"/>
  <slicer name="Category" xr10:uid="{969245E9-06EA-41EF-8DAC-01E1A353BDF4}" cache="Slicer_Category" caption="Category" rowHeight="241300"/>
  <slicer name="Country" xr10:uid="{F1EC63BF-1DE2-491E-A3A0-163C18DFDDA2}" cache="Slicer_Country" caption="Country" rowHeight="241300"/>
  <slicer name="Payment Mode" xr10:uid="{9DD9B899-6EA7-473B-89D1-5C057411D2EA}" cache="Slicer_Payment_Mode" caption="Payment Mode" rowHeight="241300"/>
  <slicer name="Month 1" xr10:uid="{99AB3D01-8A56-4912-A21B-BE41E232681B}" cache="Slicer_Month" caption="Month" rowHeight="241300"/>
  <slicer name="Brand 1" xr10:uid="{D24C50DF-23D6-4C64-BF10-95380E140EFF}" cache="Slicer_Brand" caption="Bran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1" xr10:uid="{4B1CC5BC-ACBA-4C68-92ED-29B271475B64}" cache="Slicer_Product_Type" caption="Product Type" columnCount="2" style="SlicerStyleDark2 2" rowHeight="241300"/>
  <slicer name="Gender 1" xr10:uid="{9A778D5E-68C3-4F6C-8C57-9E06DEF22EF9}" cache="Slicer_Gender" caption="Gender" style="SlicerStyleDark2 2" rowHeight="241300"/>
  <slicer name="Category 1" xr10:uid="{5B0C77E1-CC8C-498C-83C8-44239D60F836}" cache="Slicer_Category" caption="Category" style="SlicerStyleDark2 2" rowHeight="241300"/>
  <slicer name="Country 1" xr10:uid="{18D6D940-7BCA-4FE4-9448-00F7831E70CD}" cache="Slicer_Country" caption="Country" columnCount="3" style="SlicerStyleDark2 2" rowHeight="241300"/>
  <slicer name="Payment Mode 1" xr10:uid="{0235FE79-9DBA-4D28-9AD8-A6259A8ACF57}" cache="Slicer_Payment_Mode" caption="Payment Mode" startItem="1" style="SlicerStyleDark2 2" rowHeight="241300"/>
  <slicer name="Month" xr10:uid="{8B27E44D-2729-41EF-9B17-312D53EBA54D}" cache="Slicer_Month" caption="Month" columnCount="3" style="SlicerStyleDark2 2" rowHeight="241300"/>
  <slicer name="Brand" xr10:uid="{FD832413-0567-4E6D-B615-60762D8439D0}" cache="Slicer_Brand" caption="Brand" columnCount="2" style="SlicerStyleDark2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F9C64B-B3E7-4872-BBB4-5217FEF13CBE}" name="Table1" displayName="Table1" ref="A1:M354" totalsRowShown="0">
  <autoFilter ref="A1:M354" xr:uid="{32F9C64B-B3E7-4872-BBB4-5217FEF13CBE}"/>
  <tableColumns count="13">
    <tableColumn id="1" xr3:uid="{9FFBA47C-30C5-4A4A-9D37-53543681637E}" name="Date" dataDxfId="43"/>
    <tableColumn id="2" xr3:uid="{5A679E93-DBD3-4951-8998-062C3E2A2650}" name="Day" dataDxfId="42">
      <calculatedColumnFormula>TEXT(A2,"DDDD")</calculatedColumnFormula>
    </tableColumn>
    <tableColumn id="3" xr3:uid="{25E25041-2371-43DF-8A38-C9919B7D0FA4}" name="Month" dataDxfId="41">
      <calculatedColumnFormula>TEXT(A2,"MMMM")</calculatedColumnFormula>
    </tableColumn>
    <tableColumn id="4" xr3:uid="{80FE4ACE-747C-4317-81E6-761AB8938268}" name="Product Name"/>
    <tableColumn id="5" xr3:uid="{17F0AA16-B0F3-4321-9B4C-077E78AA8179}" name="Product Type"/>
    <tableColumn id="6" xr3:uid="{F3167709-B9B6-4E46-8E4A-6BD3EBEC2055}" name="Brand"/>
    <tableColumn id="7" xr3:uid="{3B7845DB-9672-4B53-91FC-B2FC9EBB5B88}" name="Gender"/>
    <tableColumn id="8" xr3:uid="{078C4E0D-57CF-46FD-8A04-942093B53911}" name="Category"/>
    <tableColumn id="9" xr3:uid="{BC15AAF6-1643-48A5-B4F5-5B1A7F5805F6}" name="Country"/>
    <tableColumn id="10" xr3:uid="{03BEE8EA-21B0-45CE-90E1-DCBCBDA6F977}" name="Quantity"/>
    <tableColumn id="11" xr3:uid="{A921E6B7-2629-461F-B606-421F5687AE12}" name="Unit Price ($)"/>
    <tableColumn id="12" xr3:uid="{F4AD5AFD-0D21-45D6-9759-325646F3AD5F}" name="Amount ($)" dataDxfId="40" dataCellStyle="Currency"/>
    <tableColumn id="13" xr3:uid="{A05B80C4-51B1-4437-AE5A-3FD9581BFB8D}" name="Payment M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520A6-955C-4849-8E1C-CBEBB7E40DED}">
  <dimension ref="A1:M354"/>
  <sheetViews>
    <sheetView workbookViewId="0">
      <selection activeCell="O10" sqref="O10"/>
    </sheetView>
  </sheetViews>
  <sheetFormatPr defaultRowHeight="15" x14ac:dyDescent="0.25"/>
  <cols>
    <col min="1" max="3" width="22.28515625" customWidth="1"/>
    <col min="4" max="4" width="19.85546875" customWidth="1"/>
    <col min="5" max="5" width="17.5703125" customWidth="1"/>
    <col min="7" max="7" width="9.85546875" customWidth="1"/>
    <col min="8" max="8" width="17.42578125" customWidth="1"/>
    <col min="9" max="9" width="10.140625" customWidth="1"/>
    <col min="10" max="10" width="10.85546875" customWidth="1"/>
    <col min="11" max="11" width="14.7109375" customWidth="1"/>
    <col min="12" max="12" width="16.7109375" customWidth="1"/>
    <col min="13" max="13" width="19.28515625" customWidth="1"/>
  </cols>
  <sheetData>
    <row r="1" spans="1:13" x14ac:dyDescent="0.25">
      <c r="A1" t="s">
        <v>0</v>
      </c>
      <c r="B1" t="s">
        <v>51</v>
      </c>
      <c r="C1" t="s">
        <v>52</v>
      </c>
      <c r="D1" t="s">
        <v>1</v>
      </c>
      <c r="E1" t="s">
        <v>2</v>
      </c>
      <c r="F1" t="s">
        <v>3</v>
      </c>
      <c r="G1" t="s">
        <v>4</v>
      </c>
      <c r="H1" t="s">
        <v>5</v>
      </c>
      <c r="I1" t="s">
        <v>6</v>
      </c>
      <c r="J1" t="s">
        <v>7</v>
      </c>
      <c r="K1" t="s">
        <v>8</v>
      </c>
      <c r="L1" t="s">
        <v>9</v>
      </c>
      <c r="M1" t="s">
        <v>10</v>
      </c>
    </row>
    <row r="2" spans="1:13" x14ac:dyDescent="0.25">
      <c r="A2" s="1">
        <v>44708</v>
      </c>
      <c r="B2" s="1" t="str">
        <f t="shared" ref="B2:B65" si="0">TEXT(A2,"DDDD")</f>
        <v>Friday</v>
      </c>
      <c r="C2" s="1" t="str">
        <f t="shared" ref="C2:C65" si="1">TEXT(A2,"MMMM")</f>
        <v>May</v>
      </c>
      <c r="D2" t="s">
        <v>11</v>
      </c>
      <c r="E2" t="s">
        <v>12</v>
      </c>
      <c r="F2" t="s">
        <v>13</v>
      </c>
      <c r="G2" t="s">
        <v>14</v>
      </c>
      <c r="H2" t="s">
        <v>15</v>
      </c>
      <c r="I2" t="s">
        <v>16</v>
      </c>
      <c r="J2">
        <v>5</v>
      </c>
      <c r="K2">
        <v>141.82</v>
      </c>
      <c r="L2" s="3">
        <v>709.1</v>
      </c>
      <c r="M2" t="s">
        <v>17</v>
      </c>
    </row>
    <row r="3" spans="1:13" x14ac:dyDescent="0.25">
      <c r="A3" s="1">
        <v>44795</v>
      </c>
      <c r="B3" s="1" t="str">
        <f t="shared" si="0"/>
        <v>Monday</v>
      </c>
      <c r="C3" s="1" t="str">
        <f t="shared" si="1"/>
        <v>August</v>
      </c>
      <c r="D3" t="s">
        <v>18</v>
      </c>
      <c r="E3" t="s">
        <v>19</v>
      </c>
      <c r="F3" t="s">
        <v>20</v>
      </c>
      <c r="G3" t="s">
        <v>14</v>
      </c>
      <c r="H3" t="s">
        <v>21</v>
      </c>
      <c r="I3" t="s">
        <v>22</v>
      </c>
      <c r="J3">
        <v>2</v>
      </c>
      <c r="K3">
        <v>267.33999999999997</v>
      </c>
      <c r="L3" s="3">
        <v>534.67999999999995</v>
      </c>
      <c r="M3" t="s">
        <v>23</v>
      </c>
    </row>
    <row r="4" spans="1:13" x14ac:dyDescent="0.25">
      <c r="A4" s="1">
        <v>44654</v>
      </c>
      <c r="B4" s="1" t="str">
        <f t="shared" si="0"/>
        <v>Sunday</v>
      </c>
      <c r="C4" s="1" t="str">
        <f t="shared" si="1"/>
        <v>April</v>
      </c>
      <c r="D4" t="s">
        <v>24</v>
      </c>
      <c r="E4" t="s">
        <v>19</v>
      </c>
      <c r="F4" t="s">
        <v>25</v>
      </c>
      <c r="G4" t="s">
        <v>26</v>
      </c>
      <c r="H4" t="s">
        <v>15</v>
      </c>
      <c r="I4" t="s">
        <v>27</v>
      </c>
      <c r="J4">
        <v>1</v>
      </c>
      <c r="K4">
        <v>292</v>
      </c>
      <c r="L4" s="3">
        <v>292</v>
      </c>
      <c r="M4" t="s">
        <v>23</v>
      </c>
    </row>
    <row r="5" spans="1:13" x14ac:dyDescent="0.25">
      <c r="A5" s="1">
        <v>44755</v>
      </c>
      <c r="B5" s="1" t="str">
        <f t="shared" si="0"/>
        <v>Wednesday</v>
      </c>
      <c r="C5" s="1" t="str">
        <f t="shared" si="1"/>
        <v>July</v>
      </c>
      <c r="D5" t="s">
        <v>28</v>
      </c>
      <c r="E5" t="s">
        <v>29</v>
      </c>
      <c r="F5" t="s">
        <v>25</v>
      </c>
      <c r="G5" t="s">
        <v>30</v>
      </c>
      <c r="H5" t="s">
        <v>15</v>
      </c>
      <c r="I5" t="s">
        <v>22</v>
      </c>
      <c r="J5">
        <v>4</v>
      </c>
      <c r="K5">
        <v>245.44</v>
      </c>
      <c r="L5" s="3">
        <v>981.76</v>
      </c>
      <c r="M5" t="s">
        <v>23</v>
      </c>
    </row>
    <row r="6" spans="1:13" x14ac:dyDescent="0.25">
      <c r="A6" s="1">
        <v>44798</v>
      </c>
      <c r="B6" s="1" t="str">
        <f t="shared" si="0"/>
        <v>Thursday</v>
      </c>
      <c r="C6" s="1" t="str">
        <f t="shared" si="1"/>
        <v>August</v>
      </c>
      <c r="D6" t="s">
        <v>31</v>
      </c>
      <c r="E6" t="s">
        <v>19</v>
      </c>
      <c r="F6" t="s">
        <v>25</v>
      </c>
      <c r="G6" t="s">
        <v>26</v>
      </c>
      <c r="H6" t="s">
        <v>32</v>
      </c>
      <c r="I6" t="s">
        <v>33</v>
      </c>
      <c r="J6">
        <v>2</v>
      </c>
      <c r="K6">
        <v>184.51</v>
      </c>
      <c r="L6" s="3">
        <v>369.02</v>
      </c>
      <c r="M6" t="s">
        <v>23</v>
      </c>
    </row>
    <row r="7" spans="1:13" x14ac:dyDescent="0.25">
      <c r="A7" s="1">
        <v>44615</v>
      </c>
      <c r="B7" s="1" t="str">
        <f t="shared" si="0"/>
        <v>Wednesday</v>
      </c>
      <c r="C7" s="1" t="str">
        <f t="shared" si="1"/>
        <v>February</v>
      </c>
      <c r="D7" t="s">
        <v>18</v>
      </c>
      <c r="E7" t="s">
        <v>19</v>
      </c>
      <c r="F7" t="s">
        <v>20</v>
      </c>
      <c r="G7" t="s">
        <v>26</v>
      </c>
      <c r="H7" t="s">
        <v>32</v>
      </c>
      <c r="I7" t="s">
        <v>34</v>
      </c>
      <c r="J7">
        <v>2</v>
      </c>
      <c r="K7">
        <v>128.86000000000001</v>
      </c>
      <c r="L7" s="3">
        <v>257.72000000000003</v>
      </c>
      <c r="M7" t="s">
        <v>35</v>
      </c>
    </row>
    <row r="8" spans="1:13" x14ac:dyDescent="0.25">
      <c r="A8" s="1">
        <v>44754</v>
      </c>
      <c r="B8" s="1" t="str">
        <f t="shared" si="0"/>
        <v>Tuesday</v>
      </c>
      <c r="C8" s="1" t="str">
        <f t="shared" si="1"/>
        <v>July</v>
      </c>
      <c r="D8" t="s">
        <v>11</v>
      </c>
      <c r="E8" t="s">
        <v>12</v>
      </c>
      <c r="F8" t="s">
        <v>13</v>
      </c>
      <c r="G8" t="s">
        <v>26</v>
      </c>
      <c r="H8" t="s">
        <v>15</v>
      </c>
      <c r="I8" t="s">
        <v>27</v>
      </c>
      <c r="J8">
        <v>1</v>
      </c>
      <c r="K8">
        <v>207.85</v>
      </c>
      <c r="L8" s="3">
        <v>207.85</v>
      </c>
      <c r="M8" t="s">
        <v>36</v>
      </c>
    </row>
    <row r="9" spans="1:13" x14ac:dyDescent="0.25">
      <c r="A9" s="1">
        <v>44756</v>
      </c>
      <c r="B9" s="1" t="str">
        <f t="shared" si="0"/>
        <v>Thursday</v>
      </c>
      <c r="C9" s="1" t="str">
        <f t="shared" si="1"/>
        <v>July</v>
      </c>
      <c r="D9" t="s">
        <v>37</v>
      </c>
      <c r="E9" t="s">
        <v>29</v>
      </c>
      <c r="F9" t="s">
        <v>38</v>
      </c>
      <c r="G9" t="s">
        <v>30</v>
      </c>
      <c r="H9" t="s">
        <v>21</v>
      </c>
      <c r="I9" t="s">
        <v>39</v>
      </c>
      <c r="J9">
        <v>2</v>
      </c>
      <c r="K9">
        <v>163.32</v>
      </c>
      <c r="L9" s="3">
        <v>326.64</v>
      </c>
      <c r="M9" t="s">
        <v>35</v>
      </c>
    </row>
    <row r="10" spans="1:13" x14ac:dyDescent="0.25">
      <c r="A10" s="1">
        <v>44732</v>
      </c>
      <c r="B10" s="1" t="str">
        <f t="shared" si="0"/>
        <v>Monday</v>
      </c>
      <c r="C10" s="1" t="str">
        <f t="shared" si="1"/>
        <v>June</v>
      </c>
      <c r="D10" t="s">
        <v>31</v>
      </c>
      <c r="E10" t="s">
        <v>19</v>
      </c>
      <c r="F10" t="s">
        <v>25</v>
      </c>
      <c r="G10" t="s">
        <v>26</v>
      </c>
      <c r="H10" t="s">
        <v>21</v>
      </c>
      <c r="I10" t="s">
        <v>22</v>
      </c>
      <c r="J10">
        <v>3</v>
      </c>
      <c r="K10">
        <v>199.47</v>
      </c>
      <c r="L10" s="3">
        <v>598.41</v>
      </c>
      <c r="M10" t="s">
        <v>36</v>
      </c>
    </row>
    <row r="11" spans="1:13" x14ac:dyDescent="0.25">
      <c r="A11" s="1">
        <v>44563</v>
      </c>
      <c r="B11" s="1" t="str">
        <f t="shared" si="0"/>
        <v>Sunday</v>
      </c>
      <c r="C11" s="1" t="str">
        <f t="shared" si="1"/>
        <v>January</v>
      </c>
      <c r="D11" t="s">
        <v>31</v>
      </c>
      <c r="E11" t="s">
        <v>19</v>
      </c>
      <c r="F11" t="s">
        <v>25</v>
      </c>
      <c r="G11" t="s">
        <v>14</v>
      </c>
      <c r="H11" t="s">
        <v>40</v>
      </c>
      <c r="I11" t="s">
        <v>16</v>
      </c>
      <c r="J11">
        <v>4</v>
      </c>
      <c r="K11">
        <v>298.22000000000003</v>
      </c>
      <c r="L11" s="3">
        <v>1192.8800000000001</v>
      </c>
      <c r="M11" t="s">
        <v>36</v>
      </c>
    </row>
    <row r="12" spans="1:13" x14ac:dyDescent="0.25">
      <c r="A12" s="1">
        <v>44737</v>
      </c>
      <c r="B12" s="1" t="str">
        <f t="shared" si="0"/>
        <v>Saturday</v>
      </c>
      <c r="C12" s="1" t="str">
        <f t="shared" si="1"/>
        <v>June</v>
      </c>
      <c r="D12" t="s">
        <v>18</v>
      </c>
      <c r="E12" t="s">
        <v>19</v>
      </c>
      <c r="F12" t="s">
        <v>20</v>
      </c>
      <c r="G12" t="s">
        <v>30</v>
      </c>
      <c r="H12" t="s">
        <v>15</v>
      </c>
      <c r="I12" t="s">
        <v>22</v>
      </c>
      <c r="J12">
        <v>1</v>
      </c>
      <c r="K12">
        <v>117.18</v>
      </c>
      <c r="L12" s="3">
        <v>117.18</v>
      </c>
      <c r="M12" t="s">
        <v>23</v>
      </c>
    </row>
    <row r="13" spans="1:13" x14ac:dyDescent="0.25">
      <c r="A13" s="1">
        <v>44592</v>
      </c>
      <c r="B13" s="1" t="str">
        <f t="shared" si="0"/>
        <v>Monday</v>
      </c>
      <c r="C13" s="1" t="str">
        <f t="shared" si="1"/>
        <v>January</v>
      </c>
      <c r="D13" t="s">
        <v>41</v>
      </c>
      <c r="E13" t="s">
        <v>29</v>
      </c>
      <c r="F13" t="s">
        <v>42</v>
      </c>
      <c r="G13" t="s">
        <v>26</v>
      </c>
      <c r="H13" t="s">
        <v>32</v>
      </c>
      <c r="I13" t="s">
        <v>27</v>
      </c>
      <c r="J13">
        <v>2</v>
      </c>
      <c r="K13">
        <v>240.23</v>
      </c>
      <c r="L13" s="3">
        <v>480.46</v>
      </c>
      <c r="M13" t="s">
        <v>23</v>
      </c>
    </row>
    <row r="14" spans="1:13" x14ac:dyDescent="0.25">
      <c r="A14" s="1">
        <v>44799</v>
      </c>
      <c r="B14" s="1" t="str">
        <f t="shared" si="0"/>
        <v>Friday</v>
      </c>
      <c r="C14" s="1" t="str">
        <f t="shared" si="1"/>
        <v>August</v>
      </c>
      <c r="D14" t="s">
        <v>24</v>
      </c>
      <c r="E14" t="s">
        <v>19</v>
      </c>
      <c r="F14" t="s">
        <v>25</v>
      </c>
      <c r="G14" t="s">
        <v>26</v>
      </c>
      <c r="H14" t="s">
        <v>32</v>
      </c>
      <c r="I14" t="s">
        <v>27</v>
      </c>
      <c r="J14">
        <v>3</v>
      </c>
      <c r="K14">
        <v>295.75</v>
      </c>
      <c r="L14" s="3">
        <v>887.25</v>
      </c>
      <c r="M14" t="s">
        <v>17</v>
      </c>
    </row>
    <row r="15" spans="1:13" x14ac:dyDescent="0.25">
      <c r="A15" s="1">
        <v>44600</v>
      </c>
      <c r="B15" s="1" t="str">
        <f t="shared" si="0"/>
        <v>Tuesday</v>
      </c>
      <c r="C15" s="1" t="str">
        <f t="shared" si="1"/>
        <v>February</v>
      </c>
      <c r="D15" t="s">
        <v>41</v>
      </c>
      <c r="E15" t="s">
        <v>29</v>
      </c>
      <c r="F15" t="s">
        <v>42</v>
      </c>
      <c r="G15" t="s">
        <v>14</v>
      </c>
      <c r="H15" t="s">
        <v>32</v>
      </c>
      <c r="I15" t="s">
        <v>43</v>
      </c>
      <c r="J15">
        <v>1</v>
      </c>
      <c r="K15">
        <v>54.44</v>
      </c>
      <c r="L15" s="3">
        <v>54.44</v>
      </c>
      <c r="M15" t="s">
        <v>23</v>
      </c>
    </row>
    <row r="16" spans="1:13" x14ac:dyDescent="0.25">
      <c r="A16" s="1">
        <v>44798</v>
      </c>
      <c r="B16" s="1" t="str">
        <f t="shared" si="0"/>
        <v>Thursday</v>
      </c>
      <c r="C16" s="1" t="str">
        <f t="shared" si="1"/>
        <v>August</v>
      </c>
      <c r="D16" t="s">
        <v>44</v>
      </c>
      <c r="E16" t="s">
        <v>19</v>
      </c>
      <c r="F16" t="s">
        <v>20</v>
      </c>
      <c r="G16" t="s">
        <v>14</v>
      </c>
      <c r="H16" t="s">
        <v>32</v>
      </c>
      <c r="I16" t="s">
        <v>22</v>
      </c>
      <c r="J16">
        <v>1</v>
      </c>
      <c r="K16">
        <v>104.16</v>
      </c>
      <c r="L16" s="3">
        <v>104.16</v>
      </c>
      <c r="M16" t="s">
        <v>36</v>
      </c>
    </row>
    <row r="17" spans="1:13" x14ac:dyDescent="0.25">
      <c r="A17" s="1">
        <v>44696</v>
      </c>
      <c r="B17" s="1" t="str">
        <f t="shared" si="0"/>
        <v>Sunday</v>
      </c>
      <c r="C17" s="1" t="str">
        <f t="shared" si="1"/>
        <v>May</v>
      </c>
      <c r="D17" t="s">
        <v>24</v>
      </c>
      <c r="E17" t="s">
        <v>19</v>
      </c>
      <c r="F17" t="s">
        <v>25</v>
      </c>
      <c r="G17" t="s">
        <v>26</v>
      </c>
      <c r="H17" t="s">
        <v>32</v>
      </c>
      <c r="I17" t="s">
        <v>34</v>
      </c>
      <c r="J17">
        <v>5</v>
      </c>
      <c r="K17">
        <v>64.66</v>
      </c>
      <c r="L17" s="3">
        <v>323.3</v>
      </c>
      <c r="M17" t="s">
        <v>17</v>
      </c>
    </row>
    <row r="18" spans="1:13" x14ac:dyDescent="0.25">
      <c r="A18" s="1">
        <v>44588</v>
      </c>
      <c r="B18" s="1" t="str">
        <f t="shared" si="0"/>
        <v>Thursday</v>
      </c>
      <c r="C18" s="1" t="str">
        <f t="shared" si="1"/>
        <v>January</v>
      </c>
      <c r="D18" t="s">
        <v>41</v>
      </c>
      <c r="E18" t="s">
        <v>29</v>
      </c>
      <c r="F18" t="s">
        <v>42</v>
      </c>
      <c r="G18" t="s">
        <v>30</v>
      </c>
      <c r="H18" t="s">
        <v>21</v>
      </c>
      <c r="I18" t="s">
        <v>27</v>
      </c>
      <c r="J18">
        <v>3</v>
      </c>
      <c r="K18">
        <v>114.29</v>
      </c>
      <c r="L18" s="3">
        <v>342.87</v>
      </c>
      <c r="M18" t="s">
        <v>35</v>
      </c>
    </row>
    <row r="19" spans="1:13" x14ac:dyDescent="0.25">
      <c r="A19" s="1">
        <v>44653</v>
      </c>
      <c r="B19" s="1" t="str">
        <f t="shared" si="0"/>
        <v>Saturday</v>
      </c>
      <c r="C19" s="1" t="str">
        <f t="shared" si="1"/>
        <v>April</v>
      </c>
      <c r="D19" t="s">
        <v>45</v>
      </c>
      <c r="E19" t="s">
        <v>46</v>
      </c>
      <c r="F19" t="s">
        <v>47</v>
      </c>
      <c r="G19" t="s">
        <v>26</v>
      </c>
      <c r="H19" t="s">
        <v>40</v>
      </c>
      <c r="I19" t="s">
        <v>27</v>
      </c>
      <c r="J19">
        <v>1</v>
      </c>
      <c r="K19">
        <v>167.77</v>
      </c>
      <c r="L19" s="3">
        <v>167.77</v>
      </c>
      <c r="M19" t="s">
        <v>23</v>
      </c>
    </row>
    <row r="20" spans="1:13" x14ac:dyDescent="0.25">
      <c r="A20" s="1">
        <v>44753</v>
      </c>
      <c r="B20" s="1" t="str">
        <f t="shared" si="0"/>
        <v>Monday</v>
      </c>
      <c r="C20" s="1" t="str">
        <f t="shared" si="1"/>
        <v>July</v>
      </c>
      <c r="D20" t="s">
        <v>11</v>
      </c>
      <c r="E20" t="s">
        <v>12</v>
      </c>
      <c r="F20" t="s">
        <v>13</v>
      </c>
      <c r="G20" t="s">
        <v>26</v>
      </c>
      <c r="H20" t="s">
        <v>40</v>
      </c>
      <c r="I20" t="s">
        <v>43</v>
      </c>
      <c r="J20">
        <v>3</v>
      </c>
      <c r="K20">
        <v>167.36</v>
      </c>
      <c r="L20" s="3">
        <v>502.08</v>
      </c>
      <c r="M20" t="s">
        <v>35</v>
      </c>
    </row>
    <row r="21" spans="1:13" x14ac:dyDescent="0.25">
      <c r="A21" s="1">
        <v>44791</v>
      </c>
      <c r="B21" s="1" t="str">
        <f t="shared" si="0"/>
        <v>Thursday</v>
      </c>
      <c r="C21" s="1" t="str">
        <f t="shared" si="1"/>
        <v>August</v>
      </c>
      <c r="D21" t="s">
        <v>24</v>
      </c>
      <c r="E21" t="s">
        <v>19</v>
      </c>
      <c r="F21" t="s">
        <v>25</v>
      </c>
      <c r="G21" t="s">
        <v>14</v>
      </c>
      <c r="H21" t="s">
        <v>21</v>
      </c>
      <c r="I21" t="s">
        <v>43</v>
      </c>
      <c r="J21">
        <v>4</v>
      </c>
      <c r="K21">
        <v>295.52999999999997</v>
      </c>
      <c r="L21" s="3">
        <v>1182.1199999999999</v>
      </c>
      <c r="M21" t="s">
        <v>36</v>
      </c>
    </row>
    <row r="22" spans="1:13" x14ac:dyDescent="0.25">
      <c r="A22" s="1">
        <v>44659</v>
      </c>
      <c r="B22" s="1" t="str">
        <f t="shared" si="0"/>
        <v>Friday</v>
      </c>
      <c r="C22" s="1" t="str">
        <f t="shared" si="1"/>
        <v>April</v>
      </c>
      <c r="D22" t="s">
        <v>45</v>
      </c>
      <c r="E22" t="s">
        <v>46</v>
      </c>
      <c r="F22" t="s">
        <v>47</v>
      </c>
      <c r="G22" t="s">
        <v>30</v>
      </c>
      <c r="H22" t="s">
        <v>15</v>
      </c>
      <c r="I22" t="s">
        <v>34</v>
      </c>
      <c r="J22">
        <v>4</v>
      </c>
      <c r="K22">
        <v>107.31</v>
      </c>
      <c r="L22" s="3">
        <v>429.24</v>
      </c>
      <c r="M22" t="s">
        <v>35</v>
      </c>
    </row>
    <row r="23" spans="1:13" x14ac:dyDescent="0.25">
      <c r="A23" s="1">
        <v>44719</v>
      </c>
      <c r="B23" s="1" t="str">
        <f t="shared" si="0"/>
        <v>Tuesday</v>
      </c>
      <c r="C23" s="1" t="str">
        <f t="shared" si="1"/>
        <v>June</v>
      </c>
      <c r="D23" t="s">
        <v>28</v>
      </c>
      <c r="E23" t="s">
        <v>29</v>
      </c>
      <c r="F23" t="s">
        <v>25</v>
      </c>
      <c r="G23" t="s">
        <v>14</v>
      </c>
      <c r="H23" t="s">
        <v>40</v>
      </c>
      <c r="I23" t="s">
        <v>27</v>
      </c>
      <c r="J23">
        <v>5</v>
      </c>
      <c r="K23">
        <v>119.54</v>
      </c>
      <c r="L23" s="3">
        <v>597.70000000000005</v>
      </c>
      <c r="M23" t="s">
        <v>17</v>
      </c>
    </row>
    <row r="24" spans="1:13" x14ac:dyDescent="0.25">
      <c r="A24" s="1">
        <v>44688</v>
      </c>
      <c r="B24" s="1" t="str">
        <f t="shared" si="0"/>
        <v>Saturday</v>
      </c>
      <c r="C24" s="1" t="str">
        <f t="shared" si="1"/>
        <v>May</v>
      </c>
      <c r="D24" t="s">
        <v>45</v>
      </c>
      <c r="E24" t="s">
        <v>46</v>
      </c>
      <c r="F24" t="s">
        <v>47</v>
      </c>
      <c r="G24" t="s">
        <v>30</v>
      </c>
      <c r="H24" t="s">
        <v>40</v>
      </c>
      <c r="I24" t="s">
        <v>22</v>
      </c>
      <c r="J24">
        <v>3</v>
      </c>
      <c r="K24">
        <v>295.25</v>
      </c>
      <c r="L24" s="3">
        <v>885.75</v>
      </c>
      <c r="M24" t="s">
        <v>36</v>
      </c>
    </row>
    <row r="25" spans="1:13" x14ac:dyDescent="0.25">
      <c r="A25" s="1">
        <v>44709</v>
      </c>
      <c r="B25" s="1" t="str">
        <f t="shared" si="0"/>
        <v>Saturday</v>
      </c>
      <c r="C25" s="1" t="str">
        <f t="shared" si="1"/>
        <v>May</v>
      </c>
      <c r="D25" t="s">
        <v>44</v>
      </c>
      <c r="E25" t="s">
        <v>19</v>
      </c>
      <c r="F25" t="s">
        <v>20</v>
      </c>
      <c r="G25" t="s">
        <v>14</v>
      </c>
      <c r="H25" t="s">
        <v>40</v>
      </c>
      <c r="I25" t="s">
        <v>34</v>
      </c>
      <c r="J25">
        <v>4</v>
      </c>
      <c r="K25">
        <v>63.73</v>
      </c>
      <c r="L25" s="3">
        <v>254.92</v>
      </c>
      <c r="M25" t="s">
        <v>17</v>
      </c>
    </row>
    <row r="26" spans="1:13" x14ac:dyDescent="0.25">
      <c r="A26" s="1">
        <v>44737</v>
      </c>
      <c r="B26" s="1" t="str">
        <f t="shared" si="0"/>
        <v>Saturday</v>
      </c>
      <c r="C26" s="1" t="str">
        <f t="shared" si="1"/>
        <v>June</v>
      </c>
      <c r="D26" t="s">
        <v>28</v>
      </c>
      <c r="E26" t="s">
        <v>29</v>
      </c>
      <c r="F26" t="s">
        <v>25</v>
      </c>
      <c r="G26" t="s">
        <v>30</v>
      </c>
      <c r="H26" t="s">
        <v>21</v>
      </c>
      <c r="I26" t="s">
        <v>34</v>
      </c>
      <c r="J26">
        <v>4</v>
      </c>
      <c r="K26">
        <v>86.13</v>
      </c>
      <c r="L26" s="3">
        <v>344.52</v>
      </c>
      <c r="M26" t="s">
        <v>35</v>
      </c>
    </row>
    <row r="27" spans="1:13" x14ac:dyDescent="0.25">
      <c r="A27" s="1">
        <v>44644</v>
      </c>
      <c r="B27" s="1" t="str">
        <f t="shared" si="0"/>
        <v>Thursday</v>
      </c>
      <c r="C27" s="1" t="str">
        <f t="shared" si="1"/>
        <v>March</v>
      </c>
      <c r="D27" t="s">
        <v>31</v>
      </c>
      <c r="E27" t="s">
        <v>19</v>
      </c>
      <c r="F27" t="s">
        <v>25</v>
      </c>
      <c r="G27" t="s">
        <v>30</v>
      </c>
      <c r="H27" t="s">
        <v>15</v>
      </c>
      <c r="I27" t="s">
        <v>16</v>
      </c>
      <c r="J27">
        <v>4</v>
      </c>
      <c r="K27">
        <v>172.68</v>
      </c>
      <c r="L27" s="3">
        <v>690.72</v>
      </c>
      <c r="M27" t="s">
        <v>35</v>
      </c>
    </row>
    <row r="28" spans="1:13" x14ac:dyDescent="0.25">
      <c r="A28" s="1">
        <v>44617</v>
      </c>
      <c r="B28" s="1" t="str">
        <f t="shared" si="0"/>
        <v>Friday</v>
      </c>
      <c r="C28" s="1" t="str">
        <f t="shared" si="1"/>
        <v>February</v>
      </c>
      <c r="D28" t="s">
        <v>48</v>
      </c>
      <c r="E28" t="s">
        <v>49</v>
      </c>
      <c r="F28" t="s">
        <v>50</v>
      </c>
      <c r="G28" t="s">
        <v>26</v>
      </c>
      <c r="H28" t="s">
        <v>21</v>
      </c>
      <c r="I28" t="s">
        <v>34</v>
      </c>
      <c r="J28">
        <v>5</v>
      </c>
      <c r="K28">
        <v>203.5</v>
      </c>
      <c r="L28" s="3">
        <v>1017.5</v>
      </c>
      <c r="M28" t="s">
        <v>17</v>
      </c>
    </row>
    <row r="29" spans="1:13" x14ac:dyDescent="0.25">
      <c r="A29" s="1">
        <v>44696</v>
      </c>
      <c r="B29" s="1" t="str">
        <f t="shared" si="0"/>
        <v>Sunday</v>
      </c>
      <c r="C29" s="1" t="str">
        <f t="shared" si="1"/>
        <v>May</v>
      </c>
      <c r="D29" t="s">
        <v>28</v>
      </c>
      <c r="E29" t="s">
        <v>29</v>
      </c>
      <c r="F29" t="s">
        <v>25</v>
      </c>
      <c r="G29" t="s">
        <v>14</v>
      </c>
      <c r="H29" t="s">
        <v>15</v>
      </c>
      <c r="I29" t="s">
        <v>27</v>
      </c>
      <c r="J29">
        <v>3</v>
      </c>
      <c r="K29">
        <v>200.92</v>
      </c>
      <c r="L29" s="3">
        <v>602.76</v>
      </c>
      <c r="M29" t="s">
        <v>23</v>
      </c>
    </row>
    <row r="30" spans="1:13" x14ac:dyDescent="0.25">
      <c r="A30" s="1">
        <v>44651</v>
      </c>
      <c r="B30" s="1" t="str">
        <f t="shared" si="0"/>
        <v>Thursday</v>
      </c>
      <c r="C30" s="1" t="str">
        <f t="shared" si="1"/>
        <v>March</v>
      </c>
      <c r="D30" t="s">
        <v>41</v>
      </c>
      <c r="E30" t="s">
        <v>29</v>
      </c>
      <c r="F30" t="s">
        <v>42</v>
      </c>
      <c r="G30" t="s">
        <v>26</v>
      </c>
      <c r="H30" t="s">
        <v>40</v>
      </c>
      <c r="I30" t="s">
        <v>27</v>
      </c>
      <c r="J30">
        <v>1</v>
      </c>
      <c r="K30">
        <v>251.98</v>
      </c>
      <c r="L30" s="3">
        <v>251.98</v>
      </c>
      <c r="M30" t="s">
        <v>17</v>
      </c>
    </row>
    <row r="31" spans="1:13" x14ac:dyDescent="0.25">
      <c r="A31" s="1">
        <v>44783</v>
      </c>
      <c r="B31" s="1" t="str">
        <f t="shared" si="0"/>
        <v>Wednesday</v>
      </c>
      <c r="C31" s="1" t="str">
        <f t="shared" si="1"/>
        <v>August</v>
      </c>
      <c r="D31" t="s">
        <v>48</v>
      </c>
      <c r="E31" t="s">
        <v>49</v>
      </c>
      <c r="F31" t="s">
        <v>50</v>
      </c>
      <c r="G31" t="s">
        <v>30</v>
      </c>
      <c r="H31" t="s">
        <v>21</v>
      </c>
      <c r="I31" t="s">
        <v>16</v>
      </c>
      <c r="J31">
        <v>4</v>
      </c>
      <c r="K31">
        <v>121.9</v>
      </c>
      <c r="L31" s="3">
        <v>487.6</v>
      </c>
      <c r="M31" t="s">
        <v>17</v>
      </c>
    </row>
    <row r="32" spans="1:13" x14ac:dyDescent="0.25">
      <c r="A32" s="1">
        <v>44677</v>
      </c>
      <c r="B32" s="1" t="str">
        <f t="shared" si="0"/>
        <v>Tuesday</v>
      </c>
      <c r="C32" s="1" t="str">
        <f t="shared" si="1"/>
        <v>April</v>
      </c>
      <c r="D32" t="s">
        <v>37</v>
      </c>
      <c r="E32" t="s">
        <v>29</v>
      </c>
      <c r="F32" t="s">
        <v>38</v>
      </c>
      <c r="G32" t="s">
        <v>14</v>
      </c>
      <c r="H32" t="s">
        <v>21</v>
      </c>
      <c r="I32" t="s">
        <v>22</v>
      </c>
      <c r="J32">
        <v>4</v>
      </c>
      <c r="K32">
        <v>258.82</v>
      </c>
      <c r="L32" s="3">
        <v>1035.28</v>
      </c>
      <c r="M32" t="s">
        <v>23</v>
      </c>
    </row>
    <row r="33" spans="1:13" x14ac:dyDescent="0.25">
      <c r="A33" s="1">
        <v>44616</v>
      </c>
      <c r="B33" s="1" t="str">
        <f t="shared" si="0"/>
        <v>Thursday</v>
      </c>
      <c r="C33" s="1" t="str">
        <f t="shared" si="1"/>
        <v>February</v>
      </c>
      <c r="D33" t="s">
        <v>24</v>
      </c>
      <c r="E33" t="s">
        <v>19</v>
      </c>
      <c r="F33" t="s">
        <v>25</v>
      </c>
      <c r="G33" t="s">
        <v>26</v>
      </c>
      <c r="H33" t="s">
        <v>40</v>
      </c>
      <c r="I33" t="s">
        <v>22</v>
      </c>
      <c r="J33">
        <v>2</v>
      </c>
      <c r="K33">
        <v>203.05</v>
      </c>
      <c r="L33" s="3">
        <v>406.1</v>
      </c>
      <c r="M33" t="s">
        <v>23</v>
      </c>
    </row>
    <row r="34" spans="1:13" x14ac:dyDescent="0.25">
      <c r="A34" s="1">
        <v>44568</v>
      </c>
      <c r="B34" s="1" t="str">
        <f t="shared" si="0"/>
        <v>Friday</v>
      </c>
      <c r="C34" s="1" t="str">
        <f t="shared" si="1"/>
        <v>January</v>
      </c>
      <c r="D34" t="s">
        <v>48</v>
      </c>
      <c r="E34" t="s">
        <v>49</v>
      </c>
      <c r="F34" t="s">
        <v>50</v>
      </c>
      <c r="G34" t="s">
        <v>26</v>
      </c>
      <c r="H34" t="s">
        <v>15</v>
      </c>
      <c r="I34" t="s">
        <v>34</v>
      </c>
      <c r="J34">
        <v>2</v>
      </c>
      <c r="K34">
        <v>130.05000000000001</v>
      </c>
      <c r="L34" s="3">
        <v>260.10000000000002</v>
      </c>
      <c r="M34" t="s">
        <v>36</v>
      </c>
    </row>
    <row r="35" spans="1:13" x14ac:dyDescent="0.25">
      <c r="A35" s="1">
        <v>44740</v>
      </c>
      <c r="B35" s="1" t="str">
        <f t="shared" si="0"/>
        <v>Tuesday</v>
      </c>
      <c r="C35" s="1" t="str">
        <f t="shared" si="1"/>
        <v>June</v>
      </c>
      <c r="D35" t="s">
        <v>45</v>
      </c>
      <c r="E35" t="s">
        <v>46</v>
      </c>
      <c r="F35" t="s">
        <v>47</v>
      </c>
      <c r="G35" t="s">
        <v>26</v>
      </c>
      <c r="H35" t="s">
        <v>32</v>
      </c>
      <c r="I35" t="s">
        <v>39</v>
      </c>
      <c r="J35">
        <v>4</v>
      </c>
      <c r="K35">
        <v>185.54</v>
      </c>
      <c r="L35" s="3">
        <v>742.16</v>
      </c>
      <c r="M35" t="s">
        <v>35</v>
      </c>
    </row>
    <row r="36" spans="1:13" x14ac:dyDescent="0.25">
      <c r="A36" s="1">
        <v>44628</v>
      </c>
      <c r="B36" s="1" t="str">
        <f t="shared" si="0"/>
        <v>Tuesday</v>
      </c>
      <c r="C36" s="1" t="str">
        <f t="shared" si="1"/>
        <v>March</v>
      </c>
      <c r="D36" t="s">
        <v>37</v>
      </c>
      <c r="E36" t="s">
        <v>29</v>
      </c>
      <c r="F36" t="s">
        <v>38</v>
      </c>
      <c r="G36" t="s">
        <v>26</v>
      </c>
      <c r="H36" t="s">
        <v>32</v>
      </c>
      <c r="I36" t="s">
        <v>34</v>
      </c>
      <c r="J36">
        <v>5</v>
      </c>
      <c r="K36">
        <v>234.84</v>
      </c>
      <c r="L36" s="3">
        <v>1174.2</v>
      </c>
      <c r="M36" t="s">
        <v>17</v>
      </c>
    </row>
    <row r="37" spans="1:13" x14ac:dyDescent="0.25">
      <c r="A37" s="1">
        <v>44768</v>
      </c>
      <c r="B37" s="1" t="str">
        <f t="shared" si="0"/>
        <v>Tuesday</v>
      </c>
      <c r="C37" s="1" t="str">
        <f t="shared" si="1"/>
        <v>July</v>
      </c>
      <c r="D37" t="s">
        <v>18</v>
      </c>
      <c r="E37" t="s">
        <v>19</v>
      </c>
      <c r="F37" t="s">
        <v>20</v>
      </c>
      <c r="G37" t="s">
        <v>26</v>
      </c>
      <c r="H37" t="s">
        <v>15</v>
      </c>
      <c r="I37" t="s">
        <v>39</v>
      </c>
      <c r="J37">
        <v>2</v>
      </c>
      <c r="K37">
        <v>134.38999999999999</v>
      </c>
      <c r="L37" s="3">
        <v>268.77999999999997</v>
      </c>
      <c r="M37" t="s">
        <v>23</v>
      </c>
    </row>
    <row r="38" spans="1:13" x14ac:dyDescent="0.25">
      <c r="A38" s="1">
        <v>44608</v>
      </c>
      <c r="B38" s="1" t="str">
        <f t="shared" si="0"/>
        <v>Wednesday</v>
      </c>
      <c r="C38" s="1" t="str">
        <f t="shared" si="1"/>
        <v>February</v>
      </c>
      <c r="D38" t="s">
        <v>37</v>
      </c>
      <c r="E38" t="s">
        <v>29</v>
      </c>
      <c r="F38" t="s">
        <v>38</v>
      </c>
      <c r="G38" t="s">
        <v>30</v>
      </c>
      <c r="H38" t="s">
        <v>15</v>
      </c>
      <c r="I38" t="s">
        <v>43</v>
      </c>
      <c r="J38">
        <v>3</v>
      </c>
      <c r="K38">
        <v>82.56</v>
      </c>
      <c r="L38" s="3">
        <v>247.68</v>
      </c>
      <c r="M38" t="s">
        <v>35</v>
      </c>
    </row>
    <row r="39" spans="1:13" x14ac:dyDescent="0.25">
      <c r="A39" s="1">
        <v>44759</v>
      </c>
      <c r="B39" s="1" t="str">
        <f t="shared" si="0"/>
        <v>Sunday</v>
      </c>
      <c r="C39" s="1" t="str">
        <f t="shared" si="1"/>
        <v>July</v>
      </c>
      <c r="D39" t="s">
        <v>37</v>
      </c>
      <c r="E39" t="s">
        <v>29</v>
      </c>
      <c r="F39" t="s">
        <v>38</v>
      </c>
      <c r="G39" t="s">
        <v>30</v>
      </c>
      <c r="H39" t="s">
        <v>15</v>
      </c>
      <c r="I39" t="s">
        <v>27</v>
      </c>
      <c r="J39">
        <v>4</v>
      </c>
      <c r="K39">
        <v>191.11</v>
      </c>
      <c r="L39" s="3">
        <v>764.44</v>
      </c>
      <c r="M39" t="s">
        <v>36</v>
      </c>
    </row>
    <row r="40" spans="1:13" x14ac:dyDescent="0.25">
      <c r="A40" s="1">
        <v>44679</v>
      </c>
      <c r="B40" s="1" t="str">
        <f t="shared" si="0"/>
        <v>Thursday</v>
      </c>
      <c r="C40" s="1" t="str">
        <f t="shared" si="1"/>
        <v>April</v>
      </c>
      <c r="D40" t="s">
        <v>18</v>
      </c>
      <c r="E40" t="s">
        <v>19</v>
      </c>
      <c r="F40" t="s">
        <v>20</v>
      </c>
      <c r="G40" t="s">
        <v>14</v>
      </c>
      <c r="H40" t="s">
        <v>40</v>
      </c>
      <c r="I40" t="s">
        <v>33</v>
      </c>
      <c r="J40">
        <v>1</v>
      </c>
      <c r="K40">
        <v>70.69</v>
      </c>
      <c r="L40" s="3">
        <v>70.69</v>
      </c>
      <c r="M40" t="s">
        <v>35</v>
      </c>
    </row>
    <row r="41" spans="1:13" x14ac:dyDescent="0.25">
      <c r="A41" s="1">
        <v>44633</v>
      </c>
      <c r="B41" s="1" t="str">
        <f t="shared" si="0"/>
        <v>Sunday</v>
      </c>
      <c r="C41" s="1" t="str">
        <f t="shared" si="1"/>
        <v>March</v>
      </c>
      <c r="D41" t="s">
        <v>37</v>
      </c>
      <c r="E41" t="s">
        <v>29</v>
      </c>
      <c r="F41" t="s">
        <v>38</v>
      </c>
      <c r="G41" t="s">
        <v>26</v>
      </c>
      <c r="H41" t="s">
        <v>32</v>
      </c>
      <c r="I41" t="s">
        <v>34</v>
      </c>
      <c r="J41">
        <v>1</v>
      </c>
      <c r="K41">
        <v>89.14</v>
      </c>
      <c r="L41" s="3">
        <v>89.14</v>
      </c>
      <c r="M41" t="s">
        <v>23</v>
      </c>
    </row>
    <row r="42" spans="1:13" x14ac:dyDescent="0.25">
      <c r="A42" s="1">
        <v>44766</v>
      </c>
      <c r="B42" s="1" t="str">
        <f t="shared" si="0"/>
        <v>Sunday</v>
      </c>
      <c r="C42" s="1" t="str">
        <f t="shared" si="1"/>
        <v>July</v>
      </c>
      <c r="D42" t="s">
        <v>45</v>
      </c>
      <c r="E42" t="s">
        <v>46</v>
      </c>
      <c r="F42" t="s">
        <v>47</v>
      </c>
      <c r="G42" t="s">
        <v>14</v>
      </c>
      <c r="H42" t="s">
        <v>15</v>
      </c>
      <c r="I42" t="s">
        <v>43</v>
      </c>
      <c r="J42">
        <v>4</v>
      </c>
      <c r="K42">
        <v>135.07</v>
      </c>
      <c r="L42" s="3">
        <v>540.28</v>
      </c>
      <c r="M42" t="s">
        <v>23</v>
      </c>
    </row>
    <row r="43" spans="1:13" x14ac:dyDescent="0.25">
      <c r="A43" s="1">
        <v>44723</v>
      </c>
      <c r="B43" s="1" t="str">
        <f t="shared" si="0"/>
        <v>Saturday</v>
      </c>
      <c r="C43" s="1" t="str">
        <f t="shared" si="1"/>
        <v>June</v>
      </c>
      <c r="D43" t="s">
        <v>44</v>
      </c>
      <c r="E43" t="s">
        <v>19</v>
      </c>
      <c r="F43" t="s">
        <v>20</v>
      </c>
      <c r="G43" t="s">
        <v>30</v>
      </c>
      <c r="H43" t="s">
        <v>21</v>
      </c>
      <c r="I43" t="s">
        <v>27</v>
      </c>
      <c r="J43">
        <v>2</v>
      </c>
      <c r="K43">
        <v>223</v>
      </c>
      <c r="L43" s="3">
        <v>446</v>
      </c>
      <c r="M43" t="s">
        <v>23</v>
      </c>
    </row>
    <row r="44" spans="1:13" x14ac:dyDescent="0.25">
      <c r="A44" s="1">
        <v>44740</v>
      </c>
      <c r="B44" s="1" t="str">
        <f t="shared" si="0"/>
        <v>Tuesday</v>
      </c>
      <c r="C44" s="1" t="str">
        <f t="shared" si="1"/>
        <v>June</v>
      </c>
      <c r="D44" t="s">
        <v>11</v>
      </c>
      <c r="E44" t="s">
        <v>12</v>
      </c>
      <c r="F44" t="s">
        <v>13</v>
      </c>
      <c r="G44" t="s">
        <v>14</v>
      </c>
      <c r="H44" t="s">
        <v>15</v>
      </c>
      <c r="I44" t="s">
        <v>34</v>
      </c>
      <c r="J44">
        <v>4</v>
      </c>
      <c r="K44">
        <v>238.52</v>
      </c>
      <c r="L44" s="3">
        <v>954.08</v>
      </c>
      <c r="M44" t="s">
        <v>23</v>
      </c>
    </row>
    <row r="45" spans="1:13" x14ac:dyDescent="0.25">
      <c r="A45" s="1">
        <v>44754</v>
      </c>
      <c r="B45" s="1" t="str">
        <f t="shared" si="0"/>
        <v>Tuesday</v>
      </c>
      <c r="C45" s="1" t="str">
        <f t="shared" si="1"/>
        <v>July</v>
      </c>
      <c r="D45" t="s">
        <v>28</v>
      </c>
      <c r="E45" t="s">
        <v>29</v>
      </c>
      <c r="F45" t="s">
        <v>25</v>
      </c>
      <c r="G45" t="s">
        <v>26</v>
      </c>
      <c r="H45" t="s">
        <v>32</v>
      </c>
      <c r="I45" t="s">
        <v>33</v>
      </c>
      <c r="J45">
        <v>5</v>
      </c>
      <c r="K45">
        <v>120.55</v>
      </c>
      <c r="L45" s="3">
        <v>602.75</v>
      </c>
      <c r="M45" t="s">
        <v>35</v>
      </c>
    </row>
    <row r="46" spans="1:13" x14ac:dyDescent="0.25">
      <c r="A46" s="1">
        <v>44605</v>
      </c>
      <c r="B46" s="1" t="str">
        <f t="shared" si="0"/>
        <v>Sunday</v>
      </c>
      <c r="C46" s="1" t="str">
        <f t="shared" si="1"/>
        <v>February</v>
      </c>
      <c r="D46" t="s">
        <v>45</v>
      </c>
      <c r="E46" t="s">
        <v>46</v>
      </c>
      <c r="F46" t="s">
        <v>47</v>
      </c>
      <c r="G46" t="s">
        <v>26</v>
      </c>
      <c r="H46" t="s">
        <v>21</v>
      </c>
      <c r="I46" t="s">
        <v>27</v>
      </c>
      <c r="J46">
        <v>4</v>
      </c>
      <c r="K46">
        <v>212.66</v>
      </c>
      <c r="L46" s="3">
        <v>850.64</v>
      </c>
      <c r="M46" t="s">
        <v>36</v>
      </c>
    </row>
    <row r="47" spans="1:13" x14ac:dyDescent="0.25">
      <c r="A47" s="1">
        <v>44752</v>
      </c>
      <c r="B47" s="1" t="str">
        <f t="shared" si="0"/>
        <v>Sunday</v>
      </c>
      <c r="C47" s="1" t="str">
        <f t="shared" si="1"/>
        <v>July</v>
      </c>
      <c r="D47" t="s">
        <v>37</v>
      </c>
      <c r="E47" t="s">
        <v>29</v>
      </c>
      <c r="F47" t="s">
        <v>38</v>
      </c>
      <c r="G47" t="s">
        <v>26</v>
      </c>
      <c r="H47" t="s">
        <v>21</v>
      </c>
      <c r="I47" t="s">
        <v>39</v>
      </c>
      <c r="J47">
        <v>5</v>
      </c>
      <c r="K47">
        <v>256.22000000000003</v>
      </c>
      <c r="L47" s="3">
        <v>1281.0999999999999</v>
      </c>
      <c r="M47" t="s">
        <v>36</v>
      </c>
    </row>
    <row r="48" spans="1:13" x14ac:dyDescent="0.25">
      <c r="A48" s="1">
        <v>44583</v>
      </c>
      <c r="B48" s="1" t="str">
        <f t="shared" si="0"/>
        <v>Saturday</v>
      </c>
      <c r="C48" s="1" t="str">
        <f t="shared" si="1"/>
        <v>January</v>
      </c>
      <c r="D48" t="s">
        <v>31</v>
      </c>
      <c r="E48" t="s">
        <v>19</v>
      </c>
      <c r="F48" t="s">
        <v>25</v>
      </c>
      <c r="G48" t="s">
        <v>14</v>
      </c>
      <c r="H48" t="s">
        <v>32</v>
      </c>
      <c r="I48" t="s">
        <v>39</v>
      </c>
      <c r="J48">
        <v>4</v>
      </c>
      <c r="K48">
        <v>124.4</v>
      </c>
      <c r="L48" s="3">
        <v>497.6</v>
      </c>
      <c r="M48" t="s">
        <v>36</v>
      </c>
    </row>
    <row r="49" spans="1:13" x14ac:dyDescent="0.25">
      <c r="A49" s="1">
        <v>44730</v>
      </c>
      <c r="B49" s="1" t="str">
        <f t="shared" si="0"/>
        <v>Saturday</v>
      </c>
      <c r="C49" s="1" t="str">
        <f t="shared" si="1"/>
        <v>June</v>
      </c>
      <c r="D49" t="s">
        <v>31</v>
      </c>
      <c r="E49" t="s">
        <v>19</v>
      </c>
      <c r="F49" t="s">
        <v>25</v>
      </c>
      <c r="G49" t="s">
        <v>26</v>
      </c>
      <c r="H49" t="s">
        <v>32</v>
      </c>
      <c r="I49" t="s">
        <v>27</v>
      </c>
      <c r="J49">
        <v>2</v>
      </c>
      <c r="K49">
        <v>80.33</v>
      </c>
      <c r="L49" s="3">
        <v>160.66</v>
      </c>
      <c r="M49" t="s">
        <v>17</v>
      </c>
    </row>
    <row r="50" spans="1:13" x14ac:dyDescent="0.25">
      <c r="A50" s="1">
        <v>44638</v>
      </c>
      <c r="B50" s="1" t="str">
        <f t="shared" si="0"/>
        <v>Friday</v>
      </c>
      <c r="C50" s="1" t="str">
        <f t="shared" si="1"/>
        <v>March</v>
      </c>
      <c r="D50" t="s">
        <v>41</v>
      </c>
      <c r="E50" t="s">
        <v>29</v>
      </c>
      <c r="F50" t="s">
        <v>42</v>
      </c>
      <c r="G50" t="s">
        <v>14</v>
      </c>
      <c r="H50" t="s">
        <v>40</v>
      </c>
      <c r="I50" t="s">
        <v>39</v>
      </c>
      <c r="J50">
        <v>5</v>
      </c>
      <c r="K50">
        <v>58.65</v>
      </c>
      <c r="L50" s="3">
        <v>293.25</v>
      </c>
      <c r="M50" t="s">
        <v>35</v>
      </c>
    </row>
    <row r="51" spans="1:13" x14ac:dyDescent="0.25">
      <c r="A51" s="1">
        <v>44794</v>
      </c>
      <c r="B51" s="1" t="str">
        <f t="shared" si="0"/>
        <v>Sunday</v>
      </c>
      <c r="C51" s="1" t="str">
        <f t="shared" si="1"/>
        <v>August</v>
      </c>
      <c r="D51" t="s">
        <v>24</v>
      </c>
      <c r="E51" t="s">
        <v>19</v>
      </c>
      <c r="F51" t="s">
        <v>25</v>
      </c>
      <c r="G51" t="s">
        <v>26</v>
      </c>
      <c r="H51" t="s">
        <v>21</v>
      </c>
      <c r="I51" t="s">
        <v>22</v>
      </c>
      <c r="J51">
        <v>5</v>
      </c>
      <c r="K51">
        <v>183.55</v>
      </c>
      <c r="L51" s="3">
        <v>917.75</v>
      </c>
      <c r="M51" t="s">
        <v>23</v>
      </c>
    </row>
    <row r="52" spans="1:13" x14ac:dyDescent="0.25">
      <c r="A52" s="1">
        <v>44749</v>
      </c>
      <c r="B52" s="1" t="str">
        <f t="shared" si="0"/>
        <v>Thursday</v>
      </c>
      <c r="C52" s="1" t="str">
        <f t="shared" si="1"/>
        <v>July</v>
      </c>
      <c r="D52" t="s">
        <v>48</v>
      </c>
      <c r="E52" t="s">
        <v>49</v>
      </c>
      <c r="F52" t="s">
        <v>50</v>
      </c>
      <c r="G52" t="s">
        <v>14</v>
      </c>
      <c r="H52" t="s">
        <v>21</v>
      </c>
      <c r="I52" t="s">
        <v>39</v>
      </c>
      <c r="J52">
        <v>2</v>
      </c>
      <c r="K52">
        <v>210.77</v>
      </c>
      <c r="L52" s="3">
        <v>421.54</v>
      </c>
      <c r="M52" t="s">
        <v>17</v>
      </c>
    </row>
    <row r="53" spans="1:13" x14ac:dyDescent="0.25">
      <c r="A53" s="1">
        <v>44692</v>
      </c>
      <c r="B53" s="1" t="str">
        <f t="shared" si="0"/>
        <v>Wednesday</v>
      </c>
      <c r="C53" s="1" t="str">
        <f t="shared" si="1"/>
        <v>May</v>
      </c>
      <c r="D53" t="s">
        <v>18</v>
      </c>
      <c r="E53" t="s">
        <v>19</v>
      </c>
      <c r="F53" t="s">
        <v>20</v>
      </c>
      <c r="G53" t="s">
        <v>14</v>
      </c>
      <c r="H53" t="s">
        <v>32</v>
      </c>
      <c r="I53" t="s">
        <v>27</v>
      </c>
      <c r="J53">
        <v>4</v>
      </c>
      <c r="K53">
        <v>218.82</v>
      </c>
      <c r="L53" s="3">
        <v>875.28</v>
      </c>
      <c r="M53" t="s">
        <v>36</v>
      </c>
    </row>
    <row r="54" spans="1:13" x14ac:dyDescent="0.25">
      <c r="A54" s="1">
        <v>44729</v>
      </c>
      <c r="B54" s="1" t="str">
        <f t="shared" si="0"/>
        <v>Friday</v>
      </c>
      <c r="C54" s="1" t="str">
        <f t="shared" si="1"/>
        <v>June</v>
      </c>
      <c r="D54" t="s">
        <v>11</v>
      </c>
      <c r="E54" t="s">
        <v>12</v>
      </c>
      <c r="F54" t="s">
        <v>13</v>
      </c>
      <c r="G54" t="s">
        <v>26</v>
      </c>
      <c r="H54" t="s">
        <v>40</v>
      </c>
      <c r="I54" t="s">
        <v>34</v>
      </c>
      <c r="J54">
        <v>5</v>
      </c>
      <c r="K54">
        <v>133.74</v>
      </c>
      <c r="L54" s="3">
        <v>668.7</v>
      </c>
      <c r="M54" t="s">
        <v>17</v>
      </c>
    </row>
    <row r="55" spans="1:13" x14ac:dyDescent="0.25">
      <c r="A55" s="1">
        <v>44705</v>
      </c>
      <c r="B55" s="1" t="str">
        <f t="shared" si="0"/>
        <v>Tuesday</v>
      </c>
      <c r="C55" s="1" t="str">
        <f t="shared" si="1"/>
        <v>May</v>
      </c>
      <c r="D55" t="s">
        <v>44</v>
      </c>
      <c r="E55" t="s">
        <v>19</v>
      </c>
      <c r="F55" t="s">
        <v>20</v>
      </c>
      <c r="G55" t="s">
        <v>26</v>
      </c>
      <c r="H55" t="s">
        <v>32</v>
      </c>
      <c r="I55" t="s">
        <v>34</v>
      </c>
      <c r="J55">
        <v>1</v>
      </c>
      <c r="K55">
        <v>208.47</v>
      </c>
      <c r="L55" s="3">
        <v>208.47</v>
      </c>
      <c r="M55" t="s">
        <v>23</v>
      </c>
    </row>
    <row r="56" spans="1:13" x14ac:dyDescent="0.25">
      <c r="A56" s="1">
        <v>44709</v>
      </c>
      <c r="B56" s="1" t="str">
        <f t="shared" si="0"/>
        <v>Saturday</v>
      </c>
      <c r="C56" s="1" t="str">
        <f t="shared" si="1"/>
        <v>May</v>
      </c>
      <c r="D56" t="s">
        <v>37</v>
      </c>
      <c r="E56" t="s">
        <v>29</v>
      </c>
      <c r="F56" t="s">
        <v>38</v>
      </c>
      <c r="G56" t="s">
        <v>14</v>
      </c>
      <c r="H56" t="s">
        <v>15</v>
      </c>
      <c r="I56" t="s">
        <v>39</v>
      </c>
      <c r="J56">
        <v>1</v>
      </c>
      <c r="K56">
        <v>180.42</v>
      </c>
      <c r="L56" s="3">
        <v>180.42</v>
      </c>
      <c r="M56" t="s">
        <v>23</v>
      </c>
    </row>
    <row r="57" spans="1:13" x14ac:dyDescent="0.25">
      <c r="A57" s="1">
        <v>44741</v>
      </c>
      <c r="B57" s="1" t="str">
        <f t="shared" si="0"/>
        <v>Wednesday</v>
      </c>
      <c r="C57" s="1" t="str">
        <f t="shared" si="1"/>
        <v>June</v>
      </c>
      <c r="D57" t="s">
        <v>48</v>
      </c>
      <c r="E57" t="s">
        <v>49</v>
      </c>
      <c r="F57" t="s">
        <v>50</v>
      </c>
      <c r="G57" t="s">
        <v>30</v>
      </c>
      <c r="H57" t="s">
        <v>32</v>
      </c>
      <c r="I57" t="s">
        <v>16</v>
      </c>
      <c r="J57">
        <v>3</v>
      </c>
      <c r="K57">
        <v>127.36</v>
      </c>
      <c r="L57" s="3">
        <v>382.08</v>
      </c>
      <c r="M57" t="s">
        <v>17</v>
      </c>
    </row>
    <row r="58" spans="1:13" x14ac:dyDescent="0.25">
      <c r="A58" s="1">
        <v>44706</v>
      </c>
      <c r="B58" s="1" t="str">
        <f t="shared" si="0"/>
        <v>Wednesday</v>
      </c>
      <c r="C58" s="1" t="str">
        <f t="shared" si="1"/>
        <v>May</v>
      </c>
      <c r="D58" t="s">
        <v>41</v>
      </c>
      <c r="E58" t="s">
        <v>29</v>
      </c>
      <c r="F58" t="s">
        <v>42</v>
      </c>
      <c r="G58" t="s">
        <v>30</v>
      </c>
      <c r="H58" t="s">
        <v>21</v>
      </c>
      <c r="I58" t="s">
        <v>16</v>
      </c>
      <c r="J58">
        <v>3</v>
      </c>
      <c r="K58">
        <v>149.51</v>
      </c>
      <c r="L58" s="3">
        <v>448.53</v>
      </c>
      <c r="M58" t="s">
        <v>23</v>
      </c>
    </row>
    <row r="59" spans="1:13" x14ac:dyDescent="0.25">
      <c r="A59" s="1">
        <v>44629</v>
      </c>
      <c r="B59" s="1" t="str">
        <f t="shared" si="0"/>
        <v>Wednesday</v>
      </c>
      <c r="C59" s="1" t="str">
        <f t="shared" si="1"/>
        <v>March</v>
      </c>
      <c r="D59" t="s">
        <v>45</v>
      </c>
      <c r="E59" t="s">
        <v>46</v>
      </c>
      <c r="F59" t="s">
        <v>47</v>
      </c>
      <c r="G59" t="s">
        <v>30</v>
      </c>
      <c r="H59" t="s">
        <v>32</v>
      </c>
      <c r="I59" t="s">
        <v>43</v>
      </c>
      <c r="J59">
        <v>3</v>
      </c>
      <c r="K59">
        <v>136.36000000000001</v>
      </c>
      <c r="L59" s="3">
        <v>409.08</v>
      </c>
      <c r="M59" t="s">
        <v>17</v>
      </c>
    </row>
    <row r="60" spans="1:13" x14ac:dyDescent="0.25">
      <c r="A60" s="1">
        <v>44794</v>
      </c>
      <c r="B60" s="1" t="str">
        <f t="shared" si="0"/>
        <v>Sunday</v>
      </c>
      <c r="C60" s="1" t="str">
        <f t="shared" si="1"/>
        <v>August</v>
      </c>
      <c r="D60" t="s">
        <v>28</v>
      </c>
      <c r="E60" t="s">
        <v>29</v>
      </c>
      <c r="F60" t="s">
        <v>25</v>
      </c>
      <c r="G60" t="s">
        <v>14</v>
      </c>
      <c r="H60" t="s">
        <v>32</v>
      </c>
      <c r="I60" t="s">
        <v>34</v>
      </c>
      <c r="J60">
        <v>5</v>
      </c>
      <c r="K60">
        <v>162.38</v>
      </c>
      <c r="L60" s="3">
        <v>811.9</v>
      </c>
      <c r="M60" t="s">
        <v>17</v>
      </c>
    </row>
    <row r="61" spans="1:13" x14ac:dyDescent="0.25">
      <c r="A61" s="1">
        <v>44708</v>
      </c>
      <c r="B61" s="1" t="str">
        <f t="shared" si="0"/>
        <v>Friday</v>
      </c>
      <c r="C61" s="1" t="str">
        <f t="shared" si="1"/>
        <v>May</v>
      </c>
      <c r="D61" t="s">
        <v>48</v>
      </c>
      <c r="E61" t="s">
        <v>49</v>
      </c>
      <c r="F61" t="s">
        <v>50</v>
      </c>
      <c r="G61" t="s">
        <v>26</v>
      </c>
      <c r="H61" t="s">
        <v>40</v>
      </c>
      <c r="I61" t="s">
        <v>33</v>
      </c>
      <c r="J61">
        <v>2</v>
      </c>
      <c r="K61">
        <v>259.66000000000003</v>
      </c>
      <c r="L61" s="3">
        <v>519.32000000000005</v>
      </c>
      <c r="M61" t="s">
        <v>36</v>
      </c>
    </row>
    <row r="62" spans="1:13" x14ac:dyDescent="0.25">
      <c r="A62" s="1">
        <v>44703</v>
      </c>
      <c r="B62" s="1" t="str">
        <f t="shared" si="0"/>
        <v>Sunday</v>
      </c>
      <c r="C62" s="1" t="str">
        <f t="shared" si="1"/>
        <v>May</v>
      </c>
      <c r="D62" t="s">
        <v>37</v>
      </c>
      <c r="E62" t="s">
        <v>29</v>
      </c>
      <c r="F62" t="s">
        <v>38</v>
      </c>
      <c r="G62" t="s">
        <v>30</v>
      </c>
      <c r="H62" t="s">
        <v>21</v>
      </c>
      <c r="I62" t="s">
        <v>39</v>
      </c>
      <c r="J62">
        <v>1</v>
      </c>
      <c r="K62">
        <v>180.39</v>
      </c>
      <c r="L62" s="3">
        <v>180.39</v>
      </c>
      <c r="M62" t="s">
        <v>17</v>
      </c>
    </row>
    <row r="63" spans="1:13" x14ac:dyDescent="0.25">
      <c r="A63" s="1">
        <v>44714</v>
      </c>
      <c r="B63" s="1" t="str">
        <f t="shared" si="0"/>
        <v>Thursday</v>
      </c>
      <c r="C63" s="1" t="str">
        <f t="shared" si="1"/>
        <v>June</v>
      </c>
      <c r="D63" t="s">
        <v>37</v>
      </c>
      <c r="E63" t="s">
        <v>29</v>
      </c>
      <c r="F63" t="s">
        <v>38</v>
      </c>
      <c r="G63" t="s">
        <v>30</v>
      </c>
      <c r="H63" t="s">
        <v>15</v>
      </c>
      <c r="I63" t="s">
        <v>39</v>
      </c>
      <c r="J63">
        <v>3</v>
      </c>
      <c r="K63">
        <v>80.349999999999994</v>
      </c>
      <c r="L63" s="3">
        <v>241.05</v>
      </c>
      <c r="M63" t="s">
        <v>17</v>
      </c>
    </row>
    <row r="64" spans="1:13" x14ac:dyDescent="0.25">
      <c r="A64" s="1">
        <v>44626</v>
      </c>
      <c r="B64" s="1" t="str">
        <f t="shared" si="0"/>
        <v>Sunday</v>
      </c>
      <c r="C64" s="1" t="str">
        <f t="shared" si="1"/>
        <v>March</v>
      </c>
      <c r="D64" t="s">
        <v>11</v>
      </c>
      <c r="E64" t="s">
        <v>12</v>
      </c>
      <c r="F64" t="s">
        <v>13</v>
      </c>
      <c r="G64" t="s">
        <v>30</v>
      </c>
      <c r="H64" t="s">
        <v>21</v>
      </c>
      <c r="I64" t="s">
        <v>16</v>
      </c>
      <c r="J64">
        <v>2</v>
      </c>
      <c r="K64">
        <v>222.08</v>
      </c>
      <c r="L64" s="3">
        <v>444.16</v>
      </c>
      <c r="M64" t="s">
        <v>35</v>
      </c>
    </row>
    <row r="65" spans="1:13" x14ac:dyDescent="0.25">
      <c r="A65" s="1">
        <v>44641</v>
      </c>
      <c r="B65" s="1" t="str">
        <f t="shared" si="0"/>
        <v>Monday</v>
      </c>
      <c r="C65" s="1" t="str">
        <f t="shared" si="1"/>
        <v>March</v>
      </c>
      <c r="D65" t="s">
        <v>48</v>
      </c>
      <c r="E65" t="s">
        <v>49</v>
      </c>
      <c r="F65" t="s">
        <v>50</v>
      </c>
      <c r="G65" t="s">
        <v>26</v>
      </c>
      <c r="H65" t="s">
        <v>40</v>
      </c>
      <c r="I65" t="s">
        <v>27</v>
      </c>
      <c r="J65">
        <v>1</v>
      </c>
      <c r="K65">
        <v>287.44</v>
      </c>
      <c r="L65" s="3">
        <v>287.44</v>
      </c>
      <c r="M65" t="s">
        <v>35</v>
      </c>
    </row>
    <row r="66" spans="1:13" x14ac:dyDescent="0.25">
      <c r="A66" s="1">
        <v>44758</v>
      </c>
      <c r="B66" s="1" t="str">
        <f t="shared" ref="B66:B129" si="2">TEXT(A66,"DDDD")</f>
        <v>Saturday</v>
      </c>
      <c r="C66" s="1" t="str">
        <f t="shared" ref="C66:C129" si="3">TEXT(A66,"MMMM")</f>
        <v>July</v>
      </c>
      <c r="D66" t="s">
        <v>11</v>
      </c>
      <c r="E66" t="s">
        <v>12</v>
      </c>
      <c r="F66" t="s">
        <v>13</v>
      </c>
      <c r="G66" t="s">
        <v>14</v>
      </c>
      <c r="H66" t="s">
        <v>15</v>
      </c>
      <c r="I66" t="s">
        <v>34</v>
      </c>
      <c r="J66">
        <v>5</v>
      </c>
      <c r="K66">
        <v>137.9</v>
      </c>
      <c r="L66" s="3">
        <v>689.5</v>
      </c>
      <c r="M66" t="s">
        <v>35</v>
      </c>
    </row>
    <row r="67" spans="1:13" x14ac:dyDescent="0.25">
      <c r="A67" s="1">
        <v>44639</v>
      </c>
      <c r="B67" s="1" t="str">
        <f t="shared" si="2"/>
        <v>Saturday</v>
      </c>
      <c r="C67" s="1" t="str">
        <f t="shared" si="3"/>
        <v>March</v>
      </c>
      <c r="D67" t="s">
        <v>37</v>
      </c>
      <c r="E67" t="s">
        <v>29</v>
      </c>
      <c r="F67" t="s">
        <v>38</v>
      </c>
      <c r="G67" t="s">
        <v>14</v>
      </c>
      <c r="H67" t="s">
        <v>21</v>
      </c>
      <c r="I67" t="s">
        <v>39</v>
      </c>
      <c r="J67">
        <v>3</v>
      </c>
      <c r="K67">
        <v>214.68</v>
      </c>
      <c r="L67" s="3">
        <v>644.04</v>
      </c>
      <c r="M67" t="s">
        <v>35</v>
      </c>
    </row>
    <row r="68" spans="1:13" x14ac:dyDescent="0.25">
      <c r="A68" s="1">
        <v>44777</v>
      </c>
      <c r="B68" s="1" t="str">
        <f t="shared" si="2"/>
        <v>Thursday</v>
      </c>
      <c r="C68" s="1" t="str">
        <f t="shared" si="3"/>
        <v>August</v>
      </c>
      <c r="D68" t="s">
        <v>28</v>
      </c>
      <c r="E68" t="s">
        <v>29</v>
      </c>
      <c r="F68" t="s">
        <v>25</v>
      </c>
      <c r="G68" t="s">
        <v>26</v>
      </c>
      <c r="H68" t="s">
        <v>15</v>
      </c>
      <c r="I68" t="s">
        <v>22</v>
      </c>
      <c r="J68">
        <v>2</v>
      </c>
      <c r="K68">
        <v>269.88</v>
      </c>
      <c r="L68" s="3">
        <v>539.76</v>
      </c>
      <c r="M68" t="s">
        <v>23</v>
      </c>
    </row>
    <row r="69" spans="1:13" x14ac:dyDescent="0.25">
      <c r="A69" s="1">
        <v>44684</v>
      </c>
      <c r="B69" s="1" t="str">
        <f t="shared" si="2"/>
        <v>Tuesday</v>
      </c>
      <c r="C69" s="1" t="str">
        <f t="shared" si="3"/>
        <v>May</v>
      </c>
      <c r="D69" t="s">
        <v>31</v>
      </c>
      <c r="E69" t="s">
        <v>19</v>
      </c>
      <c r="F69" t="s">
        <v>25</v>
      </c>
      <c r="G69" t="s">
        <v>14</v>
      </c>
      <c r="H69" t="s">
        <v>40</v>
      </c>
      <c r="I69" t="s">
        <v>43</v>
      </c>
      <c r="J69">
        <v>1</v>
      </c>
      <c r="K69">
        <v>96.97</v>
      </c>
      <c r="L69" s="3">
        <v>96.97</v>
      </c>
      <c r="M69" t="s">
        <v>36</v>
      </c>
    </row>
    <row r="70" spans="1:13" x14ac:dyDescent="0.25">
      <c r="A70" s="1">
        <v>44743</v>
      </c>
      <c r="B70" s="1" t="str">
        <f t="shared" si="2"/>
        <v>Friday</v>
      </c>
      <c r="C70" s="1" t="str">
        <f t="shared" si="3"/>
        <v>July</v>
      </c>
      <c r="D70" t="s">
        <v>45</v>
      </c>
      <c r="E70" t="s">
        <v>46</v>
      </c>
      <c r="F70" t="s">
        <v>47</v>
      </c>
      <c r="G70" t="s">
        <v>26</v>
      </c>
      <c r="H70" t="s">
        <v>15</v>
      </c>
      <c r="I70" t="s">
        <v>33</v>
      </c>
      <c r="J70">
        <v>4</v>
      </c>
      <c r="K70">
        <v>270.55</v>
      </c>
      <c r="L70" s="3">
        <v>1082.2</v>
      </c>
      <c r="M70" t="s">
        <v>23</v>
      </c>
    </row>
    <row r="71" spans="1:13" x14ac:dyDescent="0.25">
      <c r="A71" s="1">
        <v>44728</v>
      </c>
      <c r="B71" s="1" t="str">
        <f t="shared" si="2"/>
        <v>Thursday</v>
      </c>
      <c r="C71" s="1" t="str">
        <f t="shared" si="3"/>
        <v>June</v>
      </c>
      <c r="D71" t="s">
        <v>44</v>
      </c>
      <c r="E71" t="s">
        <v>19</v>
      </c>
      <c r="F71" t="s">
        <v>20</v>
      </c>
      <c r="G71" t="s">
        <v>14</v>
      </c>
      <c r="H71" t="s">
        <v>40</v>
      </c>
      <c r="I71" t="s">
        <v>33</v>
      </c>
      <c r="J71">
        <v>3</v>
      </c>
      <c r="K71">
        <v>261.31</v>
      </c>
      <c r="L71" s="3">
        <v>783.93</v>
      </c>
      <c r="M71" t="s">
        <v>17</v>
      </c>
    </row>
    <row r="72" spans="1:13" x14ac:dyDescent="0.25">
      <c r="A72" s="1">
        <v>44571</v>
      </c>
      <c r="B72" s="1" t="str">
        <f t="shared" si="2"/>
        <v>Monday</v>
      </c>
      <c r="C72" s="1" t="str">
        <f t="shared" si="3"/>
        <v>January</v>
      </c>
      <c r="D72" t="s">
        <v>45</v>
      </c>
      <c r="E72" t="s">
        <v>46</v>
      </c>
      <c r="F72" t="s">
        <v>47</v>
      </c>
      <c r="G72" t="s">
        <v>14</v>
      </c>
      <c r="H72" t="s">
        <v>40</v>
      </c>
      <c r="I72" t="s">
        <v>22</v>
      </c>
      <c r="J72">
        <v>4</v>
      </c>
      <c r="K72">
        <v>56.4</v>
      </c>
      <c r="L72" s="3">
        <v>225.6</v>
      </c>
      <c r="M72" t="s">
        <v>17</v>
      </c>
    </row>
    <row r="73" spans="1:13" x14ac:dyDescent="0.25">
      <c r="A73" s="1">
        <v>44750</v>
      </c>
      <c r="B73" s="1" t="str">
        <f t="shared" si="2"/>
        <v>Friday</v>
      </c>
      <c r="C73" s="1" t="str">
        <f t="shared" si="3"/>
        <v>July</v>
      </c>
      <c r="D73" t="s">
        <v>18</v>
      </c>
      <c r="E73" t="s">
        <v>19</v>
      </c>
      <c r="F73" t="s">
        <v>20</v>
      </c>
      <c r="G73" t="s">
        <v>30</v>
      </c>
      <c r="H73" t="s">
        <v>40</v>
      </c>
      <c r="I73" t="s">
        <v>27</v>
      </c>
      <c r="J73">
        <v>3</v>
      </c>
      <c r="K73">
        <v>239.55</v>
      </c>
      <c r="L73" s="3">
        <v>718.65</v>
      </c>
      <c r="M73" t="s">
        <v>17</v>
      </c>
    </row>
    <row r="74" spans="1:13" x14ac:dyDescent="0.25">
      <c r="A74" s="1">
        <v>44793</v>
      </c>
      <c r="B74" s="1" t="str">
        <f t="shared" si="2"/>
        <v>Saturday</v>
      </c>
      <c r="C74" s="1" t="str">
        <f t="shared" si="3"/>
        <v>August</v>
      </c>
      <c r="D74" t="s">
        <v>31</v>
      </c>
      <c r="E74" t="s">
        <v>19</v>
      </c>
      <c r="F74" t="s">
        <v>25</v>
      </c>
      <c r="G74" t="s">
        <v>14</v>
      </c>
      <c r="H74" t="s">
        <v>15</v>
      </c>
      <c r="I74" t="s">
        <v>27</v>
      </c>
      <c r="J74">
        <v>2</v>
      </c>
      <c r="K74">
        <v>94.62</v>
      </c>
      <c r="L74" s="3">
        <v>189.24</v>
      </c>
      <c r="M74" t="s">
        <v>23</v>
      </c>
    </row>
    <row r="75" spans="1:13" x14ac:dyDescent="0.25">
      <c r="A75" s="1">
        <v>44766</v>
      </c>
      <c r="B75" s="1" t="str">
        <f t="shared" si="2"/>
        <v>Sunday</v>
      </c>
      <c r="C75" s="1" t="str">
        <f t="shared" si="3"/>
        <v>July</v>
      </c>
      <c r="D75" t="s">
        <v>11</v>
      </c>
      <c r="E75" t="s">
        <v>12</v>
      </c>
      <c r="F75" t="s">
        <v>13</v>
      </c>
      <c r="G75" t="s">
        <v>14</v>
      </c>
      <c r="H75" t="s">
        <v>15</v>
      </c>
      <c r="I75" t="s">
        <v>27</v>
      </c>
      <c r="J75">
        <v>4</v>
      </c>
      <c r="K75">
        <v>57.22</v>
      </c>
      <c r="L75" s="3">
        <v>228.88</v>
      </c>
      <c r="M75" t="s">
        <v>23</v>
      </c>
    </row>
    <row r="76" spans="1:13" x14ac:dyDescent="0.25">
      <c r="A76" s="1">
        <v>44756</v>
      </c>
      <c r="B76" s="1" t="str">
        <f t="shared" si="2"/>
        <v>Thursday</v>
      </c>
      <c r="C76" s="1" t="str">
        <f t="shared" si="3"/>
        <v>July</v>
      </c>
      <c r="D76" t="s">
        <v>24</v>
      </c>
      <c r="E76" t="s">
        <v>19</v>
      </c>
      <c r="F76" t="s">
        <v>25</v>
      </c>
      <c r="G76" t="s">
        <v>30</v>
      </c>
      <c r="H76" t="s">
        <v>15</v>
      </c>
      <c r="I76" t="s">
        <v>27</v>
      </c>
      <c r="J76">
        <v>1</v>
      </c>
      <c r="K76">
        <v>170.86</v>
      </c>
      <c r="L76" s="3">
        <v>170.86</v>
      </c>
      <c r="M76" t="s">
        <v>36</v>
      </c>
    </row>
    <row r="77" spans="1:13" x14ac:dyDescent="0.25">
      <c r="A77" s="1">
        <v>44603</v>
      </c>
      <c r="B77" s="1" t="str">
        <f t="shared" si="2"/>
        <v>Friday</v>
      </c>
      <c r="C77" s="1" t="str">
        <f t="shared" si="3"/>
        <v>February</v>
      </c>
      <c r="D77" t="s">
        <v>44</v>
      </c>
      <c r="E77" t="s">
        <v>19</v>
      </c>
      <c r="F77" t="s">
        <v>20</v>
      </c>
      <c r="G77" t="s">
        <v>30</v>
      </c>
      <c r="H77" t="s">
        <v>21</v>
      </c>
      <c r="I77" t="s">
        <v>33</v>
      </c>
      <c r="J77">
        <v>3</v>
      </c>
      <c r="K77">
        <v>105.79</v>
      </c>
      <c r="L77" s="3">
        <v>317.37</v>
      </c>
      <c r="M77" t="s">
        <v>36</v>
      </c>
    </row>
    <row r="78" spans="1:13" x14ac:dyDescent="0.25">
      <c r="A78" s="1">
        <v>44707</v>
      </c>
      <c r="B78" s="1" t="str">
        <f t="shared" si="2"/>
        <v>Thursday</v>
      </c>
      <c r="C78" s="1" t="str">
        <f t="shared" si="3"/>
        <v>May</v>
      </c>
      <c r="D78" t="s">
        <v>44</v>
      </c>
      <c r="E78" t="s">
        <v>19</v>
      </c>
      <c r="F78" t="s">
        <v>20</v>
      </c>
      <c r="G78" t="s">
        <v>30</v>
      </c>
      <c r="H78" t="s">
        <v>21</v>
      </c>
      <c r="I78" t="s">
        <v>33</v>
      </c>
      <c r="J78">
        <v>5</v>
      </c>
      <c r="K78">
        <v>112.95</v>
      </c>
      <c r="L78" s="3">
        <v>564.75</v>
      </c>
      <c r="M78" t="s">
        <v>17</v>
      </c>
    </row>
    <row r="79" spans="1:13" x14ac:dyDescent="0.25">
      <c r="A79" s="1">
        <v>44793</v>
      </c>
      <c r="B79" s="1" t="str">
        <f t="shared" si="2"/>
        <v>Saturday</v>
      </c>
      <c r="C79" s="1" t="str">
        <f t="shared" si="3"/>
        <v>August</v>
      </c>
      <c r="D79" t="s">
        <v>37</v>
      </c>
      <c r="E79" t="s">
        <v>29</v>
      </c>
      <c r="F79" t="s">
        <v>38</v>
      </c>
      <c r="G79" t="s">
        <v>14</v>
      </c>
      <c r="H79" t="s">
        <v>15</v>
      </c>
      <c r="I79" t="s">
        <v>22</v>
      </c>
      <c r="J79">
        <v>5</v>
      </c>
      <c r="K79">
        <v>55.8</v>
      </c>
      <c r="L79" s="3">
        <v>279</v>
      </c>
      <c r="M79" t="s">
        <v>17</v>
      </c>
    </row>
    <row r="80" spans="1:13" x14ac:dyDescent="0.25">
      <c r="A80" s="1">
        <v>44686</v>
      </c>
      <c r="B80" s="1" t="str">
        <f t="shared" si="2"/>
        <v>Thursday</v>
      </c>
      <c r="C80" s="1" t="str">
        <f t="shared" si="3"/>
        <v>May</v>
      </c>
      <c r="D80" t="s">
        <v>41</v>
      </c>
      <c r="E80" t="s">
        <v>29</v>
      </c>
      <c r="F80" t="s">
        <v>42</v>
      </c>
      <c r="G80" t="s">
        <v>30</v>
      </c>
      <c r="H80" t="s">
        <v>40</v>
      </c>
      <c r="I80" t="s">
        <v>43</v>
      </c>
      <c r="J80">
        <v>1</v>
      </c>
      <c r="K80">
        <v>50.1</v>
      </c>
      <c r="L80" s="3">
        <v>50.1</v>
      </c>
      <c r="M80" t="s">
        <v>17</v>
      </c>
    </row>
    <row r="81" spans="1:13" x14ac:dyDescent="0.25">
      <c r="A81" s="1">
        <v>44804</v>
      </c>
      <c r="B81" s="1" t="str">
        <f t="shared" si="2"/>
        <v>Wednesday</v>
      </c>
      <c r="C81" s="1" t="str">
        <f t="shared" si="3"/>
        <v>August</v>
      </c>
      <c r="D81" t="s">
        <v>18</v>
      </c>
      <c r="E81" t="s">
        <v>19</v>
      </c>
      <c r="F81" t="s">
        <v>20</v>
      </c>
      <c r="G81" t="s">
        <v>30</v>
      </c>
      <c r="H81" t="s">
        <v>15</v>
      </c>
      <c r="I81" t="s">
        <v>22</v>
      </c>
      <c r="J81">
        <v>1</v>
      </c>
      <c r="K81">
        <v>56.49</v>
      </c>
      <c r="L81" s="3">
        <v>56.49</v>
      </c>
      <c r="M81" t="s">
        <v>35</v>
      </c>
    </row>
    <row r="82" spans="1:13" x14ac:dyDescent="0.25">
      <c r="A82" s="1">
        <v>44672</v>
      </c>
      <c r="B82" s="1" t="str">
        <f t="shared" si="2"/>
        <v>Thursday</v>
      </c>
      <c r="C82" s="1" t="str">
        <f t="shared" si="3"/>
        <v>April</v>
      </c>
      <c r="D82" t="s">
        <v>37</v>
      </c>
      <c r="E82" t="s">
        <v>29</v>
      </c>
      <c r="F82" t="s">
        <v>38</v>
      </c>
      <c r="G82" t="s">
        <v>30</v>
      </c>
      <c r="H82" t="s">
        <v>40</v>
      </c>
      <c r="I82" t="s">
        <v>33</v>
      </c>
      <c r="J82">
        <v>5</v>
      </c>
      <c r="K82">
        <v>100.65</v>
      </c>
      <c r="L82" s="3">
        <v>503.25</v>
      </c>
      <c r="M82" t="s">
        <v>36</v>
      </c>
    </row>
    <row r="83" spans="1:13" x14ac:dyDescent="0.25">
      <c r="A83" s="1">
        <v>44794</v>
      </c>
      <c r="B83" s="1" t="str">
        <f t="shared" si="2"/>
        <v>Sunday</v>
      </c>
      <c r="C83" s="1" t="str">
        <f t="shared" si="3"/>
        <v>August</v>
      </c>
      <c r="D83" t="s">
        <v>44</v>
      </c>
      <c r="E83" t="s">
        <v>19</v>
      </c>
      <c r="F83" t="s">
        <v>20</v>
      </c>
      <c r="G83" t="s">
        <v>30</v>
      </c>
      <c r="H83" t="s">
        <v>32</v>
      </c>
      <c r="I83" t="s">
        <v>16</v>
      </c>
      <c r="J83">
        <v>2</v>
      </c>
      <c r="K83">
        <v>160.44</v>
      </c>
      <c r="L83" s="3">
        <v>320.88</v>
      </c>
      <c r="M83" t="s">
        <v>35</v>
      </c>
    </row>
    <row r="84" spans="1:13" x14ac:dyDescent="0.25">
      <c r="A84" s="1">
        <v>44666</v>
      </c>
      <c r="B84" s="1" t="str">
        <f t="shared" si="2"/>
        <v>Friday</v>
      </c>
      <c r="C84" s="1" t="str">
        <f t="shared" si="3"/>
        <v>April</v>
      </c>
      <c r="D84" t="s">
        <v>48</v>
      </c>
      <c r="E84" t="s">
        <v>49</v>
      </c>
      <c r="F84" t="s">
        <v>50</v>
      </c>
      <c r="G84" t="s">
        <v>26</v>
      </c>
      <c r="H84" t="s">
        <v>21</v>
      </c>
      <c r="I84" t="s">
        <v>16</v>
      </c>
      <c r="J84">
        <v>4</v>
      </c>
      <c r="K84">
        <v>242.44</v>
      </c>
      <c r="L84" s="3">
        <v>969.76</v>
      </c>
      <c r="M84" t="s">
        <v>23</v>
      </c>
    </row>
    <row r="85" spans="1:13" x14ac:dyDescent="0.25">
      <c r="A85" s="1">
        <v>44688</v>
      </c>
      <c r="B85" s="1" t="str">
        <f t="shared" si="2"/>
        <v>Saturday</v>
      </c>
      <c r="C85" s="1" t="str">
        <f t="shared" si="3"/>
        <v>May</v>
      </c>
      <c r="D85" t="s">
        <v>18</v>
      </c>
      <c r="E85" t="s">
        <v>19</v>
      </c>
      <c r="F85" t="s">
        <v>20</v>
      </c>
      <c r="G85" t="s">
        <v>14</v>
      </c>
      <c r="H85" t="s">
        <v>21</v>
      </c>
      <c r="I85" t="s">
        <v>33</v>
      </c>
      <c r="J85">
        <v>2</v>
      </c>
      <c r="K85">
        <v>209.81</v>
      </c>
      <c r="L85" s="3">
        <v>419.62</v>
      </c>
      <c r="M85" t="s">
        <v>17</v>
      </c>
    </row>
    <row r="86" spans="1:13" x14ac:dyDescent="0.25">
      <c r="A86" s="1">
        <v>44634</v>
      </c>
      <c r="B86" s="1" t="str">
        <f t="shared" si="2"/>
        <v>Monday</v>
      </c>
      <c r="C86" s="1" t="str">
        <f t="shared" si="3"/>
        <v>March</v>
      </c>
      <c r="D86" t="s">
        <v>44</v>
      </c>
      <c r="E86" t="s">
        <v>19</v>
      </c>
      <c r="F86" t="s">
        <v>20</v>
      </c>
      <c r="G86" t="s">
        <v>30</v>
      </c>
      <c r="H86" t="s">
        <v>32</v>
      </c>
      <c r="I86" t="s">
        <v>43</v>
      </c>
      <c r="J86">
        <v>4</v>
      </c>
      <c r="K86">
        <v>261.95999999999998</v>
      </c>
      <c r="L86" s="3">
        <v>1047.8399999999999</v>
      </c>
      <c r="M86" t="s">
        <v>23</v>
      </c>
    </row>
    <row r="87" spans="1:13" x14ac:dyDescent="0.25">
      <c r="A87" s="1">
        <v>44803</v>
      </c>
      <c r="B87" s="1" t="str">
        <f t="shared" si="2"/>
        <v>Tuesday</v>
      </c>
      <c r="C87" s="1" t="str">
        <f t="shared" si="3"/>
        <v>August</v>
      </c>
      <c r="D87" t="s">
        <v>41</v>
      </c>
      <c r="E87" t="s">
        <v>29</v>
      </c>
      <c r="F87" t="s">
        <v>42</v>
      </c>
      <c r="G87" t="s">
        <v>30</v>
      </c>
      <c r="H87" t="s">
        <v>32</v>
      </c>
      <c r="I87" t="s">
        <v>22</v>
      </c>
      <c r="J87">
        <v>3</v>
      </c>
      <c r="K87">
        <v>242.71</v>
      </c>
      <c r="L87" s="3">
        <v>728.13</v>
      </c>
      <c r="M87" t="s">
        <v>23</v>
      </c>
    </row>
    <row r="88" spans="1:13" x14ac:dyDescent="0.25">
      <c r="A88" s="1">
        <v>44718</v>
      </c>
      <c r="B88" s="1" t="str">
        <f t="shared" si="2"/>
        <v>Monday</v>
      </c>
      <c r="C88" s="1" t="str">
        <f t="shared" si="3"/>
        <v>June</v>
      </c>
      <c r="D88" t="s">
        <v>31</v>
      </c>
      <c r="E88" t="s">
        <v>19</v>
      </c>
      <c r="F88" t="s">
        <v>25</v>
      </c>
      <c r="G88" t="s">
        <v>26</v>
      </c>
      <c r="H88" t="s">
        <v>15</v>
      </c>
      <c r="I88" t="s">
        <v>22</v>
      </c>
      <c r="J88">
        <v>5</v>
      </c>
      <c r="K88">
        <v>299.3</v>
      </c>
      <c r="L88" s="3">
        <v>1496.5</v>
      </c>
      <c r="M88" t="s">
        <v>17</v>
      </c>
    </row>
    <row r="89" spans="1:13" x14ac:dyDescent="0.25">
      <c r="A89" s="1">
        <v>44802</v>
      </c>
      <c r="B89" s="1" t="str">
        <f t="shared" si="2"/>
        <v>Monday</v>
      </c>
      <c r="C89" s="1" t="str">
        <f t="shared" si="3"/>
        <v>August</v>
      </c>
      <c r="D89" t="s">
        <v>18</v>
      </c>
      <c r="E89" t="s">
        <v>19</v>
      </c>
      <c r="F89" t="s">
        <v>20</v>
      </c>
      <c r="G89" t="s">
        <v>14</v>
      </c>
      <c r="H89" t="s">
        <v>21</v>
      </c>
      <c r="I89" t="s">
        <v>22</v>
      </c>
      <c r="J89">
        <v>4</v>
      </c>
      <c r="K89">
        <v>162.85</v>
      </c>
      <c r="L89" s="3">
        <v>651.4</v>
      </c>
      <c r="M89" t="s">
        <v>35</v>
      </c>
    </row>
    <row r="90" spans="1:13" x14ac:dyDescent="0.25">
      <c r="A90" s="1">
        <v>44775</v>
      </c>
      <c r="B90" s="1" t="str">
        <f t="shared" si="2"/>
        <v>Tuesday</v>
      </c>
      <c r="C90" s="1" t="str">
        <f t="shared" si="3"/>
        <v>August</v>
      </c>
      <c r="D90" t="s">
        <v>48</v>
      </c>
      <c r="E90" t="s">
        <v>49</v>
      </c>
      <c r="F90" t="s">
        <v>50</v>
      </c>
      <c r="G90" t="s">
        <v>14</v>
      </c>
      <c r="H90" t="s">
        <v>21</v>
      </c>
      <c r="I90" t="s">
        <v>16</v>
      </c>
      <c r="J90">
        <v>5</v>
      </c>
      <c r="K90">
        <v>215.63</v>
      </c>
      <c r="L90" s="3">
        <v>1078.1500000000001</v>
      </c>
      <c r="M90" t="s">
        <v>17</v>
      </c>
    </row>
    <row r="91" spans="1:13" x14ac:dyDescent="0.25">
      <c r="A91" s="1">
        <v>44712</v>
      </c>
      <c r="B91" s="1" t="str">
        <f t="shared" si="2"/>
        <v>Tuesday</v>
      </c>
      <c r="C91" s="1" t="str">
        <f t="shared" si="3"/>
        <v>May</v>
      </c>
      <c r="D91" t="s">
        <v>31</v>
      </c>
      <c r="E91" t="s">
        <v>19</v>
      </c>
      <c r="F91" t="s">
        <v>25</v>
      </c>
      <c r="G91" t="s">
        <v>26</v>
      </c>
      <c r="H91" t="s">
        <v>15</v>
      </c>
      <c r="I91" t="s">
        <v>27</v>
      </c>
      <c r="J91">
        <v>1</v>
      </c>
      <c r="K91">
        <v>54.99</v>
      </c>
      <c r="L91" s="3">
        <v>54.99</v>
      </c>
      <c r="M91" t="s">
        <v>23</v>
      </c>
    </row>
    <row r="92" spans="1:13" x14ac:dyDescent="0.25">
      <c r="A92" s="1">
        <v>44593</v>
      </c>
      <c r="B92" s="1" t="str">
        <f t="shared" si="2"/>
        <v>Tuesday</v>
      </c>
      <c r="C92" s="1" t="str">
        <f t="shared" si="3"/>
        <v>February</v>
      </c>
      <c r="D92" t="s">
        <v>18</v>
      </c>
      <c r="E92" t="s">
        <v>19</v>
      </c>
      <c r="F92" t="s">
        <v>20</v>
      </c>
      <c r="G92" t="s">
        <v>30</v>
      </c>
      <c r="H92" t="s">
        <v>40</v>
      </c>
      <c r="I92" t="s">
        <v>34</v>
      </c>
      <c r="J92">
        <v>4</v>
      </c>
      <c r="K92">
        <v>185.7</v>
      </c>
      <c r="L92" s="3">
        <v>742.8</v>
      </c>
      <c r="M92" t="s">
        <v>36</v>
      </c>
    </row>
    <row r="93" spans="1:13" x14ac:dyDescent="0.25">
      <c r="A93" s="1">
        <v>44660</v>
      </c>
      <c r="B93" s="1" t="str">
        <f t="shared" si="2"/>
        <v>Saturday</v>
      </c>
      <c r="C93" s="1" t="str">
        <f t="shared" si="3"/>
        <v>April</v>
      </c>
      <c r="D93" t="s">
        <v>28</v>
      </c>
      <c r="E93" t="s">
        <v>29</v>
      </c>
      <c r="F93" t="s">
        <v>25</v>
      </c>
      <c r="G93" t="s">
        <v>14</v>
      </c>
      <c r="H93" t="s">
        <v>21</v>
      </c>
      <c r="I93" t="s">
        <v>39</v>
      </c>
      <c r="J93">
        <v>2</v>
      </c>
      <c r="K93">
        <v>153.75</v>
      </c>
      <c r="L93" s="3">
        <v>307.5</v>
      </c>
      <c r="M93" t="s">
        <v>23</v>
      </c>
    </row>
    <row r="94" spans="1:13" x14ac:dyDescent="0.25">
      <c r="A94" s="1">
        <v>44641</v>
      </c>
      <c r="B94" s="1" t="str">
        <f t="shared" si="2"/>
        <v>Monday</v>
      </c>
      <c r="C94" s="1" t="str">
        <f t="shared" si="3"/>
        <v>March</v>
      </c>
      <c r="D94" t="s">
        <v>41</v>
      </c>
      <c r="E94" t="s">
        <v>29</v>
      </c>
      <c r="F94" t="s">
        <v>42</v>
      </c>
      <c r="G94" t="s">
        <v>30</v>
      </c>
      <c r="H94" t="s">
        <v>15</v>
      </c>
      <c r="I94" t="s">
        <v>33</v>
      </c>
      <c r="J94">
        <v>5</v>
      </c>
      <c r="K94">
        <v>235.5</v>
      </c>
      <c r="L94" s="3">
        <v>1177.5</v>
      </c>
      <c r="M94" t="s">
        <v>36</v>
      </c>
    </row>
    <row r="95" spans="1:13" x14ac:dyDescent="0.25">
      <c r="A95" s="1">
        <v>44765</v>
      </c>
      <c r="B95" s="1" t="str">
        <f t="shared" si="2"/>
        <v>Saturday</v>
      </c>
      <c r="C95" s="1" t="str">
        <f t="shared" si="3"/>
        <v>July</v>
      </c>
      <c r="D95" t="s">
        <v>41</v>
      </c>
      <c r="E95" t="s">
        <v>29</v>
      </c>
      <c r="F95" t="s">
        <v>42</v>
      </c>
      <c r="G95" t="s">
        <v>26</v>
      </c>
      <c r="H95" t="s">
        <v>32</v>
      </c>
      <c r="I95" t="s">
        <v>39</v>
      </c>
      <c r="J95">
        <v>3</v>
      </c>
      <c r="K95">
        <v>239.76</v>
      </c>
      <c r="L95" s="3">
        <v>719.28</v>
      </c>
      <c r="M95" t="s">
        <v>17</v>
      </c>
    </row>
    <row r="96" spans="1:13" x14ac:dyDescent="0.25">
      <c r="A96" s="1">
        <v>44599</v>
      </c>
      <c r="B96" s="1" t="str">
        <f t="shared" si="2"/>
        <v>Monday</v>
      </c>
      <c r="C96" s="1" t="str">
        <f t="shared" si="3"/>
        <v>February</v>
      </c>
      <c r="D96" t="s">
        <v>37</v>
      </c>
      <c r="E96" t="s">
        <v>29</v>
      </c>
      <c r="F96" t="s">
        <v>38</v>
      </c>
      <c r="G96" t="s">
        <v>30</v>
      </c>
      <c r="H96" t="s">
        <v>32</v>
      </c>
      <c r="I96" t="s">
        <v>22</v>
      </c>
      <c r="J96">
        <v>4</v>
      </c>
      <c r="K96">
        <v>213.82</v>
      </c>
      <c r="L96" s="3">
        <v>855.28</v>
      </c>
      <c r="M96" t="s">
        <v>17</v>
      </c>
    </row>
    <row r="97" spans="1:13" x14ac:dyDescent="0.25">
      <c r="A97" s="1">
        <v>44678</v>
      </c>
      <c r="B97" s="1" t="str">
        <f t="shared" si="2"/>
        <v>Wednesday</v>
      </c>
      <c r="C97" s="1" t="str">
        <f t="shared" si="3"/>
        <v>April</v>
      </c>
      <c r="D97" t="s">
        <v>18</v>
      </c>
      <c r="E97" t="s">
        <v>19</v>
      </c>
      <c r="F97" t="s">
        <v>20</v>
      </c>
      <c r="G97" t="s">
        <v>26</v>
      </c>
      <c r="H97" t="s">
        <v>32</v>
      </c>
      <c r="I97" t="s">
        <v>16</v>
      </c>
      <c r="J97">
        <v>1</v>
      </c>
      <c r="K97">
        <v>67.2</v>
      </c>
      <c r="L97" s="3">
        <v>67.2</v>
      </c>
      <c r="M97" t="s">
        <v>36</v>
      </c>
    </row>
    <row r="98" spans="1:13" x14ac:dyDescent="0.25">
      <c r="A98" s="1">
        <v>44627</v>
      </c>
      <c r="B98" s="1" t="str">
        <f t="shared" si="2"/>
        <v>Monday</v>
      </c>
      <c r="C98" s="1" t="str">
        <f t="shared" si="3"/>
        <v>March</v>
      </c>
      <c r="D98" t="s">
        <v>45</v>
      </c>
      <c r="E98" t="s">
        <v>46</v>
      </c>
      <c r="F98" t="s">
        <v>47</v>
      </c>
      <c r="G98" t="s">
        <v>30</v>
      </c>
      <c r="H98" t="s">
        <v>40</v>
      </c>
      <c r="I98" t="s">
        <v>16</v>
      </c>
      <c r="J98">
        <v>4</v>
      </c>
      <c r="K98">
        <v>207.05</v>
      </c>
      <c r="L98" s="3">
        <v>828.2</v>
      </c>
      <c r="M98" t="s">
        <v>35</v>
      </c>
    </row>
    <row r="99" spans="1:13" x14ac:dyDescent="0.25">
      <c r="A99" s="1">
        <v>44686</v>
      </c>
      <c r="B99" s="1" t="str">
        <f t="shared" si="2"/>
        <v>Thursday</v>
      </c>
      <c r="C99" s="1" t="str">
        <f t="shared" si="3"/>
        <v>May</v>
      </c>
      <c r="D99" t="s">
        <v>28</v>
      </c>
      <c r="E99" t="s">
        <v>29</v>
      </c>
      <c r="F99" t="s">
        <v>25</v>
      </c>
      <c r="G99" t="s">
        <v>14</v>
      </c>
      <c r="H99" t="s">
        <v>40</v>
      </c>
      <c r="I99" t="s">
        <v>16</v>
      </c>
      <c r="J99">
        <v>3</v>
      </c>
      <c r="K99">
        <v>257.92</v>
      </c>
      <c r="L99" s="3">
        <v>773.76</v>
      </c>
      <c r="M99" t="s">
        <v>36</v>
      </c>
    </row>
    <row r="100" spans="1:13" x14ac:dyDescent="0.25">
      <c r="A100" s="1">
        <v>44730</v>
      </c>
      <c r="B100" s="1" t="str">
        <f t="shared" si="2"/>
        <v>Saturday</v>
      </c>
      <c r="C100" s="1" t="str">
        <f t="shared" si="3"/>
        <v>June</v>
      </c>
      <c r="D100" t="s">
        <v>18</v>
      </c>
      <c r="E100" t="s">
        <v>19</v>
      </c>
      <c r="F100" t="s">
        <v>20</v>
      </c>
      <c r="G100" t="s">
        <v>26</v>
      </c>
      <c r="H100" t="s">
        <v>15</v>
      </c>
      <c r="I100" t="s">
        <v>39</v>
      </c>
      <c r="J100">
        <v>1</v>
      </c>
      <c r="K100">
        <v>122.32</v>
      </c>
      <c r="L100" s="3">
        <v>122.32</v>
      </c>
      <c r="M100" t="s">
        <v>23</v>
      </c>
    </row>
    <row r="101" spans="1:13" x14ac:dyDescent="0.25">
      <c r="A101" s="1">
        <v>44707</v>
      </c>
      <c r="B101" s="1" t="str">
        <f t="shared" si="2"/>
        <v>Thursday</v>
      </c>
      <c r="C101" s="1" t="str">
        <f t="shared" si="3"/>
        <v>May</v>
      </c>
      <c r="D101" t="s">
        <v>11</v>
      </c>
      <c r="E101" t="s">
        <v>12</v>
      </c>
      <c r="F101" t="s">
        <v>13</v>
      </c>
      <c r="G101" t="s">
        <v>14</v>
      </c>
      <c r="H101" t="s">
        <v>32</v>
      </c>
      <c r="I101" t="s">
        <v>22</v>
      </c>
      <c r="J101">
        <v>1</v>
      </c>
      <c r="K101">
        <v>203.63</v>
      </c>
      <c r="L101" s="3">
        <v>203.63</v>
      </c>
      <c r="M101" t="s">
        <v>23</v>
      </c>
    </row>
    <row r="102" spans="1:13" x14ac:dyDescent="0.25">
      <c r="A102" s="1">
        <v>44709</v>
      </c>
      <c r="B102" s="1" t="str">
        <f t="shared" si="2"/>
        <v>Saturday</v>
      </c>
      <c r="C102" s="1" t="str">
        <f t="shared" si="3"/>
        <v>May</v>
      </c>
      <c r="D102" t="s">
        <v>31</v>
      </c>
      <c r="E102" t="s">
        <v>19</v>
      </c>
      <c r="F102" t="s">
        <v>25</v>
      </c>
      <c r="G102" t="s">
        <v>30</v>
      </c>
      <c r="H102" t="s">
        <v>40</v>
      </c>
      <c r="I102" t="s">
        <v>39</v>
      </c>
      <c r="J102">
        <v>3</v>
      </c>
      <c r="K102">
        <v>278.14999999999998</v>
      </c>
      <c r="L102" s="3">
        <v>834.45</v>
      </c>
      <c r="M102" t="s">
        <v>36</v>
      </c>
    </row>
    <row r="103" spans="1:13" x14ac:dyDescent="0.25">
      <c r="A103" s="1">
        <v>44745</v>
      </c>
      <c r="B103" s="1" t="str">
        <f t="shared" si="2"/>
        <v>Sunday</v>
      </c>
      <c r="C103" s="1" t="str">
        <f t="shared" si="3"/>
        <v>July</v>
      </c>
      <c r="D103" t="s">
        <v>28</v>
      </c>
      <c r="E103" t="s">
        <v>29</v>
      </c>
      <c r="F103" t="s">
        <v>25</v>
      </c>
      <c r="G103" t="s">
        <v>30</v>
      </c>
      <c r="H103" t="s">
        <v>40</v>
      </c>
      <c r="I103" t="s">
        <v>27</v>
      </c>
      <c r="J103">
        <v>3</v>
      </c>
      <c r="K103">
        <v>129.78</v>
      </c>
      <c r="L103" s="3">
        <v>389.34</v>
      </c>
      <c r="M103" t="s">
        <v>17</v>
      </c>
    </row>
    <row r="104" spans="1:13" x14ac:dyDescent="0.25">
      <c r="A104" s="1">
        <v>44717</v>
      </c>
      <c r="B104" s="1" t="str">
        <f t="shared" si="2"/>
        <v>Sunday</v>
      </c>
      <c r="C104" s="1" t="str">
        <f t="shared" si="3"/>
        <v>June</v>
      </c>
      <c r="D104" t="s">
        <v>31</v>
      </c>
      <c r="E104" t="s">
        <v>19</v>
      </c>
      <c r="F104" t="s">
        <v>25</v>
      </c>
      <c r="G104" t="s">
        <v>30</v>
      </c>
      <c r="H104" t="s">
        <v>32</v>
      </c>
      <c r="I104" t="s">
        <v>33</v>
      </c>
      <c r="J104">
        <v>5</v>
      </c>
      <c r="K104">
        <v>199.42</v>
      </c>
      <c r="L104" s="3">
        <v>997.1</v>
      </c>
      <c r="M104" t="s">
        <v>23</v>
      </c>
    </row>
    <row r="105" spans="1:13" x14ac:dyDescent="0.25">
      <c r="A105" s="1">
        <v>44738</v>
      </c>
      <c r="B105" s="1" t="str">
        <f t="shared" si="2"/>
        <v>Sunday</v>
      </c>
      <c r="C105" s="1" t="str">
        <f t="shared" si="3"/>
        <v>June</v>
      </c>
      <c r="D105" t="s">
        <v>44</v>
      </c>
      <c r="E105" t="s">
        <v>19</v>
      </c>
      <c r="F105" t="s">
        <v>20</v>
      </c>
      <c r="G105" t="s">
        <v>30</v>
      </c>
      <c r="H105" t="s">
        <v>15</v>
      </c>
      <c r="I105" t="s">
        <v>16</v>
      </c>
      <c r="J105">
        <v>5</v>
      </c>
      <c r="K105">
        <v>98.23</v>
      </c>
      <c r="L105" s="3">
        <v>491.15</v>
      </c>
      <c r="M105" t="s">
        <v>23</v>
      </c>
    </row>
    <row r="106" spans="1:13" x14ac:dyDescent="0.25">
      <c r="A106" s="1">
        <v>44688</v>
      </c>
      <c r="B106" s="1" t="str">
        <f t="shared" si="2"/>
        <v>Saturday</v>
      </c>
      <c r="C106" s="1" t="str">
        <f t="shared" si="3"/>
        <v>May</v>
      </c>
      <c r="D106" t="s">
        <v>24</v>
      </c>
      <c r="E106" t="s">
        <v>19</v>
      </c>
      <c r="F106" t="s">
        <v>25</v>
      </c>
      <c r="G106" t="s">
        <v>14</v>
      </c>
      <c r="H106" t="s">
        <v>21</v>
      </c>
      <c r="I106" t="s">
        <v>33</v>
      </c>
      <c r="J106">
        <v>1</v>
      </c>
      <c r="K106">
        <v>114.47</v>
      </c>
      <c r="L106" s="3">
        <v>114.47</v>
      </c>
      <c r="M106" t="s">
        <v>36</v>
      </c>
    </row>
    <row r="107" spans="1:13" x14ac:dyDescent="0.25">
      <c r="A107" s="1">
        <v>44624</v>
      </c>
      <c r="B107" s="1" t="str">
        <f t="shared" si="2"/>
        <v>Friday</v>
      </c>
      <c r="C107" s="1" t="str">
        <f t="shared" si="3"/>
        <v>March</v>
      </c>
      <c r="D107" t="s">
        <v>48</v>
      </c>
      <c r="E107" t="s">
        <v>49</v>
      </c>
      <c r="F107" t="s">
        <v>50</v>
      </c>
      <c r="G107" t="s">
        <v>26</v>
      </c>
      <c r="H107" t="s">
        <v>21</v>
      </c>
      <c r="I107" t="s">
        <v>16</v>
      </c>
      <c r="J107">
        <v>5</v>
      </c>
      <c r="K107">
        <v>224.71</v>
      </c>
      <c r="L107" s="3">
        <v>1123.55</v>
      </c>
      <c r="M107" t="s">
        <v>35</v>
      </c>
    </row>
    <row r="108" spans="1:13" x14ac:dyDescent="0.25">
      <c r="A108" s="1">
        <v>44590</v>
      </c>
      <c r="B108" s="1" t="str">
        <f t="shared" si="2"/>
        <v>Saturday</v>
      </c>
      <c r="C108" s="1" t="str">
        <f t="shared" si="3"/>
        <v>January</v>
      </c>
      <c r="D108" t="s">
        <v>31</v>
      </c>
      <c r="E108" t="s">
        <v>19</v>
      </c>
      <c r="F108" t="s">
        <v>25</v>
      </c>
      <c r="G108" t="s">
        <v>14</v>
      </c>
      <c r="H108" t="s">
        <v>15</v>
      </c>
      <c r="I108" t="s">
        <v>43</v>
      </c>
      <c r="J108">
        <v>3</v>
      </c>
      <c r="K108">
        <v>104.04</v>
      </c>
      <c r="L108" s="3">
        <v>312.12</v>
      </c>
      <c r="M108" t="s">
        <v>23</v>
      </c>
    </row>
    <row r="109" spans="1:13" x14ac:dyDescent="0.25">
      <c r="A109" s="1">
        <v>44622</v>
      </c>
      <c r="B109" s="1" t="str">
        <f t="shared" si="2"/>
        <v>Wednesday</v>
      </c>
      <c r="C109" s="1" t="str">
        <f t="shared" si="3"/>
        <v>March</v>
      </c>
      <c r="D109" t="s">
        <v>48</v>
      </c>
      <c r="E109" t="s">
        <v>49</v>
      </c>
      <c r="F109" t="s">
        <v>50</v>
      </c>
      <c r="G109" t="s">
        <v>30</v>
      </c>
      <c r="H109" t="s">
        <v>40</v>
      </c>
      <c r="I109" t="s">
        <v>34</v>
      </c>
      <c r="J109">
        <v>5</v>
      </c>
      <c r="K109">
        <v>140.26</v>
      </c>
      <c r="L109" s="3">
        <v>701.3</v>
      </c>
      <c r="M109" t="s">
        <v>17</v>
      </c>
    </row>
    <row r="110" spans="1:13" x14ac:dyDescent="0.25">
      <c r="A110" s="1">
        <v>44713</v>
      </c>
      <c r="B110" s="1" t="str">
        <f t="shared" si="2"/>
        <v>Wednesday</v>
      </c>
      <c r="C110" s="1" t="str">
        <f t="shared" si="3"/>
        <v>June</v>
      </c>
      <c r="D110" t="s">
        <v>44</v>
      </c>
      <c r="E110" t="s">
        <v>19</v>
      </c>
      <c r="F110" t="s">
        <v>20</v>
      </c>
      <c r="G110" t="s">
        <v>30</v>
      </c>
      <c r="H110" t="s">
        <v>21</v>
      </c>
      <c r="I110" t="s">
        <v>34</v>
      </c>
      <c r="J110">
        <v>5</v>
      </c>
      <c r="K110">
        <v>215.38</v>
      </c>
      <c r="L110" s="3">
        <v>1076.9000000000001</v>
      </c>
      <c r="M110" t="s">
        <v>17</v>
      </c>
    </row>
    <row r="111" spans="1:13" x14ac:dyDescent="0.25">
      <c r="A111" s="1">
        <v>44696</v>
      </c>
      <c r="B111" s="1" t="str">
        <f t="shared" si="2"/>
        <v>Sunday</v>
      </c>
      <c r="C111" s="1" t="str">
        <f t="shared" si="3"/>
        <v>May</v>
      </c>
      <c r="D111" t="s">
        <v>18</v>
      </c>
      <c r="E111" t="s">
        <v>19</v>
      </c>
      <c r="F111" t="s">
        <v>20</v>
      </c>
      <c r="G111" t="s">
        <v>26</v>
      </c>
      <c r="H111" t="s">
        <v>15</v>
      </c>
      <c r="I111" t="s">
        <v>33</v>
      </c>
      <c r="J111">
        <v>4</v>
      </c>
      <c r="K111">
        <v>127.55</v>
      </c>
      <c r="L111" s="3">
        <v>510.2</v>
      </c>
      <c r="M111" t="s">
        <v>23</v>
      </c>
    </row>
    <row r="112" spans="1:13" x14ac:dyDescent="0.25">
      <c r="A112" s="1">
        <v>44803</v>
      </c>
      <c r="B112" s="1" t="str">
        <f t="shared" si="2"/>
        <v>Tuesday</v>
      </c>
      <c r="C112" s="1" t="str">
        <f t="shared" si="3"/>
        <v>August</v>
      </c>
      <c r="D112" t="s">
        <v>31</v>
      </c>
      <c r="E112" t="s">
        <v>19</v>
      </c>
      <c r="F112" t="s">
        <v>25</v>
      </c>
      <c r="G112" t="s">
        <v>26</v>
      </c>
      <c r="H112" t="s">
        <v>15</v>
      </c>
      <c r="I112" t="s">
        <v>34</v>
      </c>
      <c r="J112">
        <v>3</v>
      </c>
      <c r="K112">
        <v>182.2</v>
      </c>
      <c r="L112" s="3">
        <v>546.6</v>
      </c>
      <c r="M112" t="s">
        <v>17</v>
      </c>
    </row>
    <row r="113" spans="1:13" x14ac:dyDescent="0.25">
      <c r="A113" s="1">
        <v>44655</v>
      </c>
      <c r="B113" s="1" t="str">
        <f t="shared" si="2"/>
        <v>Monday</v>
      </c>
      <c r="C113" s="1" t="str">
        <f t="shared" si="3"/>
        <v>April</v>
      </c>
      <c r="D113" t="s">
        <v>28</v>
      </c>
      <c r="E113" t="s">
        <v>29</v>
      </c>
      <c r="F113" t="s">
        <v>25</v>
      </c>
      <c r="G113" t="s">
        <v>30</v>
      </c>
      <c r="H113" t="s">
        <v>32</v>
      </c>
      <c r="I113" t="s">
        <v>27</v>
      </c>
      <c r="J113">
        <v>4</v>
      </c>
      <c r="K113">
        <v>246.66</v>
      </c>
      <c r="L113" s="3">
        <v>986.64</v>
      </c>
      <c r="M113" t="s">
        <v>23</v>
      </c>
    </row>
    <row r="114" spans="1:13" x14ac:dyDescent="0.25">
      <c r="A114" s="1">
        <v>44728</v>
      </c>
      <c r="B114" s="1" t="str">
        <f t="shared" si="2"/>
        <v>Thursday</v>
      </c>
      <c r="C114" s="1" t="str">
        <f t="shared" si="3"/>
        <v>June</v>
      </c>
      <c r="D114" t="s">
        <v>18</v>
      </c>
      <c r="E114" t="s">
        <v>19</v>
      </c>
      <c r="F114" t="s">
        <v>20</v>
      </c>
      <c r="G114" t="s">
        <v>26</v>
      </c>
      <c r="H114" t="s">
        <v>32</v>
      </c>
      <c r="I114" t="s">
        <v>16</v>
      </c>
      <c r="J114">
        <v>5</v>
      </c>
      <c r="K114">
        <v>262.68</v>
      </c>
      <c r="L114" s="3">
        <v>1313.4</v>
      </c>
      <c r="M114" t="s">
        <v>36</v>
      </c>
    </row>
    <row r="115" spans="1:13" x14ac:dyDescent="0.25">
      <c r="A115" s="1">
        <v>44585</v>
      </c>
      <c r="B115" s="1" t="str">
        <f t="shared" si="2"/>
        <v>Monday</v>
      </c>
      <c r="C115" s="1" t="str">
        <f t="shared" si="3"/>
        <v>January</v>
      </c>
      <c r="D115" t="s">
        <v>44</v>
      </c>
      <c r="E115" t="s">
        <v>19</v>
      </c>
      <c r="F115" t="s">
        <v>20</v>
      </c>
      <c r="G115" t="s">
        <v>30</v>
      </c>
      <c r="H115" t="s">
        <v>15</v>
      </c>
      <c r="I115" t="s">
        <v>22</v>
      </c>
      <c r="J115">
        <v>3</v>
      </c>
      <c r="K115">
        <v>101.39</v>
      </c>
      <c r="L115" s="3">
        <v>304.17</v>
      </c>
      <c r="M115" t="s">
        <v>23</v>
      </c>
    </row>
    <row r="116" spans="1:13" x14ac:dyDescent="0.25">
      <c r="A116" s="1">
        <v>44606</v>
      </c>
      <c r="B116" s="1" t="str">
        <f t="shared" si="2"/>
        <v>Monday</v>
      </c>
      <c r="C116" s="1" t="str">
        <f t="shared" si="3"/>
        <v>February</v>
      </c>
      <c r="D116" t="s">
        <v>37</v>
      </c>
      <c r="E116" t="s">
        <v>29</v>
      </c>
      <c r="F116" t="s">
        <v>38</v>
      </c>
      <c r="G116" t="s">
        <v>26</v>
      </c>
      <c r="H116" t="s">
        <v>32</v>
      </c>
      <c r="I116" t="s">
        <v>16</v>
      </c>
      <c r="J116">
        <v>1</v>
      </c>
      <c r="K116">
        <v>59.05</v>
      </c>
      <c r="L116" s="3">
        <v>59.05</v>
      </c>
      <c r="M116" t="s">
        <v>23</v>
      </c>
    </row>
    <row r="117" spans="1:13" x14ac:dyDescent="0.25">
      <c r="A117" s="1">
        <v>44629</v>
      </c>
      <c r="B117" s="1" t="str">
        <f t="shared" si="2"/>
        <v>Wednesday</v>
      </c>
      <c r="C117" s="1" t="str">
        <f t="shared" si="3"/>
        <v>March</v>
      </c>
      <c r="D117" t="s">
        <v>37</v>
      </c>
      <c r="E117" t="s">
        <v>29</v>
      </c>
      <c r="F117" t="s">
        <v>38</v>
      </c>
      <c r="G117" t="s">
        <v>14</v>
      </c>
      <c r="H117" t="s">
        <v>21</v>
      </c>
      <c r="I117" t="s">
        <v>39</v>
      </c>
      <c r="J117">
        <v>1</v>
      </c>
      <c r="K117">
        <v>101.32</v>
      </c>
      <c r="L117" s="3">
        <v>101.32</v>
      </c>
      <c r="M117" t="s">
        <v>35</v>
      </c>
    </row>
    <row r="118" spans="1:13" x14ac:dyDescent="0.25">
      <c r="A118" s="1">
        <v>44758</v>
      </c>
      <c r="B118" s="1" t="str">
        <f t="shared" si="2"/>
        <v>Saturday</v>
      </c>
      <c r="C118" s="1" t="str">
        <f t="shared" si="3"/>
        <v>July</v>
      </c>
      <c r="D118" t="s">
        <v>24</v>
      </c>
      <c r="E118" t="s">
        <v>19</v>
      </c>
      <c r="F118" t="s">
        <v>25</v>
      </c>
      <c r="G118" t="s">
        <v>30</v>
      </c>
      <c r="H118" t="s">
        <v>40</v>
      </c>
      <c r="I118" t="s">
        <v>33</v>
      </c>
      <c r="J118">
        <v>4</v>
      </c>
      <c r="K118">
        <v>228.88</v>
      </c>
      <c r="L118" s="3">
        <v>915.52</v>
      </c>
      <c r="M118" t="s">
        <v>17</v>
      </c>
    </row>
    <row r="119" spans="1:13" x14ac:dyDescent="0.25">
      <c r="A119" s="1">
        <v>44727</v>
      </c>
      <c r="B119" s="1" t="str">
        <f t="shared" si="2"/>
        <v>Wednesday</v>
      </c>
      <c r="C119" s="1" t="str">
        <f t="shared" si="3"/>
        <v>June</v>
      </c>
      <c r="D119" t="s">
        <v>24</v>
      </c>
      <c r="E119" t="s">
        <v>19</v>
      </c>
      <c r="F119" t="s">
        <v>25</v>
      </c>
      <c r="G119" t="s">
        <v>26</v>
      </c>
      <c r="H119" t="s">
        <v>15</v>
      </c>
      <c r="I119" t="s">
        <v>16</v>
      </c>
      <c r="J119">
        <v>4</v>
      </c>
      <c r="K119">
        <v>258.60000000000002</v>
      </c>
      <c r="L119" s="3">
        <v>1034.4000000000001</v>
      </c>
      <c r="M119" t="s">
        <v>17</v>
      </c>
    </row>
    <row r="120" spans="1:13" x14ac:dyDescent="0.25">
      <c r="A120" s="1">
        <v>44611</v>
      </c>
      <c r="B120" s="1" t="str">
        <f t="shared" si="2"/>
        <v>Saturday</v>
      </c>
      <c r="C120" s="1" t="str">
        <f t="shared" si="3"/>
        <v>February</v>
      </c>
      <c r="D120" t="s">
        <v>44</v>
      </c>
      <c r="E120" t="s">
        <v>19</v>
      </c>
      <c r="F120" t="s">
        <v>20</v>
      </c>
      <c r="G120" t="s">
        <v>14</v>
      </c>
      <c r="H120" t="s">
        <v>21</v>
      </c>
      <c r="I120" t="s">
        <v>33</v>
      </c>
      <c r="J120">
        <v>4</v>
      </c>
      <c r="K120">
        <v>129.94999999999999</v>
      </c>
      <c r="L120" s="3">
        <v>519.79999999999995</v>
      </c>
      <c r="M120" t="s">
        <v>23</v>
      </c>
    </row>
    <row r="121" spans="1:13" x14ac:dyDescent="0.25">
      <c r="A121" s="1">
        <v>44748</v>
      </c>
      <c r="B121" s="1" t="str">
        <f t="shared" si="2"/>
        <v>Wednesday</v>
      </c>
      <c r="C121" s="1" t="str">
        <f t="shared" si="3"/>
        <v>July</v>
      </c>
      <c r="D121" t="s">
        <v>44</v>
      </c>
      <c r="E121" t="s">
        <v>19</v>
      </c>
      <c r="F121" t="s">
        <v>20</v>
      </c>
      <c r="G121" t="s">
        <v>26</v>
      </c>
      <c r="H121" t="s">
        <v>32</v>
      </c>
      <c r="I121" t="s">
        <v>27</v>
      </c>
      <c r="J121">
        <v>5</v>
      </c>
      <c r="K121">
        <v>190.03</v>
      </c>
      <c r="L121" s="3">
        <v>950.15</v>
      </c>
      <c r="M121" t="s">
        <v>23</v>
      </c>
    </row>
    <row r="122" spans="1:13" x14ac:dyDescent="0.25">
      <c r="A122" s="1">
        <v>44593</v>
      </c>
      <c r="B122" s="1" t="str">
        <f t="shared" si="2"/>
        <v>Tuesday</v>
      </c>
      <c r="C122" s="1" t="str">
        <f t="shared" si="3"/>
        <v>February</v>
      </c>
      <c r="D122" t="s">
        <v>45</v>
      </c>
      <c r="E122" t="s">
        <v>46</v>
      </c>
      <c r="F122" t="s">
        <v>47</v>
      </c>
      <c r="G122" t="s">
        <v>14</v>
      </c>
      <c r="H122" t="s">
        <v>32</v>
      </c>
      <c r="I122" t="s">
        <v>39</v>
      </c>
      <c r="J122">
        <v>1</v>
      </c>
      <c r="K122">
        <v>239.21</v>
      </c>
      <c r="L122" s="3">
        <v>239.21</v>
      </c>
      <c r="M122" t="s">
        <v>36</v>
      </c>
    </row>
    <row r="123" spans="1:13" x14ac:dyDescent="0.25">
      <c r="A123" s="1">
        <v>44645</v>
      </c>
      <c r="B123" s="1" t="str">
        <f t="shared" si="2"/>
        <v>Friday</v>
      </c>
      <c r="C123" s="1" t="str">
        <f t="shared" si="3"/>
        <v>March</v>
      </c>
      <c r="D123" t="s">
        <v>11</v>
      </c>
      <c r="E123" t="s">
        <v>12</v>
      </c>
      <c r="F123" t="s">
        <v>13</v>
      </c>
      <c r="G123" t="s">
        <v>14</v>
      </c>
      <c r="H123" t="s">
        <v>21</v>
      </c>
      <c r="I123" t="s">
        <v>33</v>
      </c>
      <c r="J123">
        <v>1</v>
      </c>
      <c r="K123">
        <v>271.18</v>
      </c>
      <c r="L123" s="3">
        <v>271.18</v>
      </c>
      <c r="M123" t="s">
        <v>23</v>
      </c>
    </row>
    <row r="124" spans="1:13" x14ac:dyDescent="0.25">
      <c r="A124" s="1">
        <v>44595</v>
      </c>
      <c r="B124" s="1" t="str">
        <f t="shared" si="2"/>
        <v>Thursday</v>
      </c>
      <c r="C124" s="1" t="str">
        <f t="shared" si="3"/>
        <v>February</v>
      </c>
      <c r="D124" t="s">
        <v>48</v>
      </c>
      <c r="E124" t="s">
        <v>49</v>
      </c>
      <c r="F124" t="s">
        <v>50</v>
      </c>
      <c r="G124" t="s">
        <v>26</v>
      </c>
      <c r="H124" t="s">
        <v>21</v>
      </c>
      <c r="I124" t="s">
        <v>16</v>
      </c>
      <c r="J124">
        <v>5</v>
      </c>
      <c r="K124">
        <v>140.65</v>
      </c>
      <c r="L124" s="3">
        <v>703.25</v>
      </c>
      <c r="M124" t="s">
        <v>36</v>
      </c>
    </row>
    <row r="125" spans="1:13" x14ac:dyDescent="0.25">
      <c r="A125" s="1">
        <v>44742</v>
      </c>
      <c r="B125" s="1" t="str">
        <f t="shared" si="2"/>
        <v>Thursday</v>
      </c>
      <c r="C125" s="1" t="str">
        <f t="shared" si="3"/>
        <v>June</v>
      </c>
      <c r="D125" t="s">
        <v>11</v>
      </c>
      <c r="E125" t="s">
        <v>12</v>
      </c>
      <c r="F125" t="s">
        <v>13</v>
      </c>
      <c r="G125" t="s">
        <v>14</v>
      </c>
      <c r="H125" t="s">
        <v>21</v>
      </c>
      <c r="I125" t="s">
        <v>34</v>
      </c>
      <c r="J125">
        <v>3</v>
      </c>
      <c r="K125">
        <v>97.21</v>
      </c>
      <c r="L125" s="3">
        <v>291.63</v>
      </c>
      <c r="M125" t="s">
        <v>23</v>
      </c>
    </row>
    <row r="126" spans="1:13" x14ac:dyDescent="0.25">
      <c r="A126" s="1">
        <v>44604</v>
      </c>
      <c r="B126" s="1" t="str">
        <f t="shared" si="2"/>
        <v>Saturday</v>
      </c>
      <c r="C126" s="1" t="str">
        <f t="shared" si="3"/>
        <v>February</v>
      </c>
      <c r="D126" t="s">
        <v>41</v>
      </c>
      <c r="E126" t="s">
        <v>29</v>
      </c>
      <c r="F126" t="s">
        <v>42</v>
      </c>
      <c r="G126" t="s">
        <v>30</v>
      </c>
      <c r="H126" t="s">
        <v>40</v>
      </c>
      <c r="I126" t="s">
        <v>34</v>
      </c>
      <c r="J126">
        <v>5</v>
      </c>
      <c r="K126">
        <v>110.05</v>
      </c>
      <c r="L126" s="3">
        <v>550.25</v>
      </c>
      <c r="M126" t="s">
        <v>17</v>
      </c>
    </row>
    <row r="127" spans="1:13" x14ac:dyDescent="0.25">
      <c r="A127" s="1">
        <v>44757</v>
      </c>
      <c r="B127" s="1" t="str">
        <f t="shared" si="2"/>
        <v>Friday</v>
      </c>
      <c r="C127" s="1" t="str">
        <f t="shared" si="3"/>
        <v>July</v>
      </c>
      <c r="D127" t="s">
        <v>44</v>
      </c>
      <c r="E127" t="s">
        <v>19</v>
      </c>
      <c r="F127" t="s">
        <v>20</v>
      </c>
      <c r="G127" t="s">
        <v>14</v>
      </c>
      <c r="H127" t="s">
        <v>32</v>
      </c>
      <c r="I127" t="s">
        <v>27</v>
      </c>
      <c r="J127">
        <v>1</v>
      </c>
      <c r="K127">
        <v>209.13</v>
      </c>
      <c r="L127" s="3">
        <v>209.13</v>
      </c>
      <c r="M127" t="s">
        <v>23</v>
      </c>
    </row>
    <row r="128" spans="1:13" x14ac:dyDescent="0.25">
      <c r="A128" s="1">
        <v>44598</v>
      </c>
      <c r="B128" s="1" t="str">
        <f t="shared" si="2"/>
        <v>Sunday</v>
      </c>
      <c r="C128" s="1" t="str">
        <f t="shared" si="3"/>
        <v>February</v>
      </c>
      <c r="D128" t="s">
        <v>24</v>
      </c>
      <c r="E128" t="s">
        <v>19</v>
      </c>
      <c r="F128" t="s">
        <v>25</v>
      </c>
      <c r="G128" t="s">
        <v>26</v>
      </c>
      <c r="H128" t="s">
        <v>40</v>
      </c>
      <c r="I128" t="s">
        <v>33</v>
      </c>
      <c r="J128">
        <v>1</v>
      </c>
      <c r="K128">
        <v>256.81</v>
      </c>
      <c r="L128" s="3">
        <v>256.81</v>
      </c>
      <c r="M128" t="s">
        <v>17</v>
      </c>
    </row>
    <row r="129" spans="1:13" x14ac:dyDescent="0.25">
      <c r="A129" s="1">
        <v>44581</v>
      </c>
      <c r="B129" s="1" t="str">
        <f t="shared" si="2"/>
        <v>Thursday</v>
      </c>
      <c r="C129" s="1" t="str">
        <f t="shared" si="3"/>
        <v>January</v>
      </c>
      <c r="D129" t="s">
        <v>41</v>
      </c>
      <c r="E129" t="s">
        <v>29</v>
      </c>
      <c r="F129" t="s">
        <v>42</v>
      </c>
      <c r="G129" t="s">
        <v>26</v>
      </c>
      <c r="H129" t="s">
        <v>15</v>
      </c>
      <c r="I129" t="s">
        <v>27</v>
      </c>
      <c r="J129">
        <v>2</v>
      </c>
      <c r="K129">
        <v>53.05</v>
      </c>
      <c r="L129" s="3">
        <v>106.1</v>
      </c>
      <c r="M129" t="s">
        <v>23</v>
      </c>
    </row>
    <row r="130" spans="1:13" x14ac:dyDescent="0.25">
      <c r="A130" s="1">
        <v>44654</v>
      </c>
      <c r="B130" s="1" t="str">
        <f t="shared" ref="B130:B193" si="4">TEXT(A130,"DDDD")</f>
        <v>Sunday</v>
      </c>
      <c r="C130" s="1" t="str">
        <f t="shared" ref="C130:C193" si="5">TEXT(A130,"MMMM")</f>
        <v>April</v>
      </c>
      <c r="D130" t="s">
        <v>18</v>
      </c>
      <c r="E130" t="s">
        <v>19</v>
      </c>
      <c r="F130" t="s">
        <v>20</v>
      </c>
      <c r="G130" t="s">
        <v>30</v>
      </c>
      <c r="H130" t="s">
        <v>40</v>
      </c>
      <c r="I130" t="s">
        <v>34</v>
      </c>
      <c r="J130">
        <v>4</v>
      </c>
      <c r="K130">
        <v>127.11</v>
      </c>
      <c r="L130" s="3">
        <v>508.44</v>
      </c>
      <c r="M130" t="s">
        <v>23</v>
      </c>
    </row>
    <row r="131" spans="1:13" x14ac:dyDescent="0.25">
      <c r="A131" s="1">
        <v>44744</v>
      </c>
      <c r="B131" s="1" t="str">
        <f t="shared" si="4"/>
        <v>Saturday</v>
      </c>
      <c r="C131" s="1" t="str">
        <f t="shared" si="5"/>
        <v>July</v>
      </c>
      <c r="D131" t="s">
        <v>28</v>
      </c>
      <c r="E131" t="s">
        <v>29</v>
      </c>
      <c r="F131" t="s">
        <v>25</v>
      </c>
      <c r="G131" t="s">
        <v>26</v>
      </c>
      <c r="H131" t="s">
        <v>40</v>
      </c>
      <c r="I131" t="s">
        <v>16</v>
      </c>
      <c r="J131">
        <v>2</v>
      </c>
      <c r="K131">
        <v>259.45999999999998</v>
      </c>
      <c r="L131" s="3">
        <v>518.91999999999996</v>
      </c>
      <c r="M131" t="s">
        <v>36</v>
      </c>
    </row>
    <row r="132" spans="1:13" x14ac:dyDescent="0.25">
      <c r="A132" s="1">
        <v>44632</v>
      </c>
      <c r="B132" s="1" t="str">
        <f t="shared" si="4"/>
        <v>Saturday</v>
      </c>
      <c r="C132" s="1" t="str">
        <f t="shared" si="5"/>
        <v>March</v>
      </c>
      <c r="D132" t="s">
        <v>37</v>
      </c>
      <c r="E132" t="s">
        <v>29</v>
      </c>
      <c r="F132" t="s">
        <v>38</v>
      </c>
      <c r="G132" t="s">
        <v>14</v>
      </c>
      <c r="H132" t="s">
        <v>32</v>
      </c>
      <c r="I132" t="s">
        <v>34</v>
      </c>
      <c r="J132">
        <v>2</v>
      </c>
      <c r="K132">
        <v>183.29</v>
      </c>
      <c r="L132" s="3">
        <v>366.58</v>
      </c>
      <c r="M132" t="s">
        <v>36</v>
      </c>
    </row>
    <row r="133" spans="1:13" x14ac:dyDescent="0.25">
      <c r="A133" s="1">
        <v>44577</v>
      </c>
      <c r="B133" s="1" t="str">
        <f t="shared" si="4"/>
        <v>Sunday</v>
      </c>
      <c r="C133" s="1" t="str">
        <f t="shared" si="5"/>
        <v>January</v>
      </c>
      <c r="D133" t="s">
        <v>37</v>
      </c>
      <c r="E133" t="s">
        <v>29</v>
      </c>
      <c r="F133" t="s">
        <v>38</v>
      </c>
      <c r="G133" t="s">
        <v>26</v>
      </c>
      <c r="H133" t="s">
        <v>40</v>
      </c>
      <c r="I133" t="s">
        <v>39</v>
      </c>
      <c r="J133">
        <v>2</v>
      </c>
      <c r="K133">
        <v>130.4</v>
      </c>
      <c r="L133" s="3">
        <v>260.8</v>
      </c>
      <c r="M133" t="s">
        <v>23</v>
      </c>
    </row>
    <row r="134" spans="1:13" x14ac:dyDescent="0.25">
      <c r="A134" s="1">
        <v>44621</v>
      </c>
      <c r="B134" s="1" t="str">
        <f t="shared" si="4"/>
        <v>Tuesday</v>
      </c>
      <c r="C134" s="1" t="str">
        <f t="shared" si="5"/>
        <v>March</v>
      </c>
      <c r="D134" t="s">
        <v>18</v>
      </c>
      <c r="E134" t="s">
        <v>19</v>
      </c>
      <c r="F134" t="s">
        <v>20</v>
      </c>
      <c r="G134" t="s">
        <v>30</v>
      </c>
      <c r="H134" t="s">
        <v>21</v>
      </c>
      <c r="I134" t="s">
        <v>39</v>
      </c>
      <c r="J134">
        <v>5</v>
      </c>
      <c r="K134">
        <v>112.04</v>
      </c>
      <c r="L134" s="3">
        <v>560.20000000000005</v>
      </c>
      <c r="M134" t="s">
        <v>36</v>
      </c>
    </row>
    <row r="135" spans="1:13" x14ac:dyDescent="0.25">
      <c r="A135" s="1">
        <v>44619</v>
      </c>
      <c r="B135" s="1" t="str">
        <f t="shared" si="4"/>
        <v>Sunday</v>
      </c>
      <c r="C135" s="1" t="str">
        <f t="shared" si="5"/>
        <v>February</v>
      </c>
      <c r="D135" t="s">
        <v>48</v>
      </c>
      <c r="E135" t="s">
        <v>49</v>
      </c>
      <c r="F135" t="s">
        <v>50</v>
      </c>
      <c r="G135" t="s">
        <v>26</v>
      </c>
      <c r="H135" t="s">
        <v>32</v>
      </c>
      <c r="I135" t="s">
        <v>16</v>
      </c>
      <c r="J135">
        <v>5</v>
      </c>
      <c r="K135">
        <v>85.1</v>
      </c>
      <c r="L135" s="3">
        <v>425.5</v>
      </c>
      <c r="M135" t="s">
        <v>23</v>
      </c>
    </row>
    <row r="136" spans="1:13" x14ac:dyDescent="0.25">
      <c r="A136" s="1">
        <v>44744</v>
      </c>
      <c r="B136" s="1" t="str">
        <f t="shared" si="4"/>
        <v>Saturday</v>
      </c>
      <c r="C136" s="1" t="str">
        <f t="shared" si="5"/>
        <v>July</v>
      </c>
      <c r="D136" t="s">
        <v>48</v>
      </c>
      <c r="E136" t="s">
        <v>49</v>
      </c>
      <c r="F136" t="s">
        <v>50</v>
      </c>
      <c r="G136" t="s">
        <v>14</v>
      </c>
      <c r="H136" t="s">
        <v>21</v>
      </c>
      <c r="I136" t="s">
        <v>33</v>
      </c>
      <c r="J136">
        <v>1</v>
      </c>
      <c r="K136">
        <v>180.65</v>
      </c>
      <c r="L136" s="3">
        <v>180.65</v>
      </c>
      <c r="M136" t="s">
        <v>23</v>
      </c>
    </row>
    <row r="137" spans="1:13" x14ac:dyDescent="0.25">
      <c r="A137" s="1">
        <v>44600</v>
      </c>
      <c r="B137" s="1" t="str">
        <f t="shared" si="4"/>
        <v>Tuesday</v>
      </c>
      <c r="C137" s="1" t="str">
        <f t="shared" si="5"/>
        <v>February</v>
      </c>
      <c r="D137" t="s">
        <v>45</v>
      </c>
      <c r="E137" t="s">
        <v>46</v>
      </c>
      <c r="F137" t="s">
        <v>47</v>
      </c>
      <c r="G137" t="s">
        <v>26</v>
      </c>
      <c r="H137" t="s">
        <v>32</v>
      </c>
      <c r="I137" t="s">
        <v>34</v>
      </c>
      <c r="J137">
        <v>5</v>
      </c>
      <c r="K137">
        <v>147.13</v>
      </c>
      <c r="L137" s="3">
        <v>735.65</v>
      </c>
      <c r="M137" t="s">
        <v>36</v>
      </c>
    </row>
    <row r="138" spans="1:13" x14ac:dyDescent="0.25">
      <c r="A138" s="1">
        <v>44583</v>
      </c>
      <c r="B138" s="1" t="str">
        <f t="shared" si="4"/>
        <v>Saturday</v>
      </c>
      <c r="C138" s="1" t="str">
        <f t="shared" si="5"/>
        <v>January</v>
      </c>
      <c r="D138" t="s">
        <v>48</v>
      </c>
      <c r="E138" t="s">
        <v>49</v>
      </c>
      <c r="F138" t="s">
        <v>50</v>
      </c>
      <c r="G138" t="s">
        <v>26</v>
      </c>
      <c r="H138" t="s">
        <v>15</v>
      </c>
      <c r="I138" t="s">
        <v>33</v>
      </c>
      <c r="J138">
        <v>3</v>
      </c>
      <c r="K138">
        <v>110.78</v>
      </c>
      <c r="L138" s="3">
        <v>332.34</v>
      </c>
      <c r="M138" t="s">
        <v>23</v>
      </c>
    </row>
    <row r="139" spans="1:13" x14ac:dyDescent="0.25">
      <c r="A139" s="1">
        <v>44736</v>
      </c>
      <c r="B139" s="1" t="str">
        <f t="shared" si="4"/>
        <v>Friday</v>
      </c>
      <c r="C139" s="1" t="str">
        <f t="shared" si="5"/>
        <v>June</v>
      </c>
      <c r="D139" t="s">
        <v>28</v>
      </c>
      <c r="E139" t="s">
        <v>29</v>
      </c>
      <c r="F139" t="s">
        <v>25</v>
      </c>
      <c r="G139" t="s">
        <v>26</v>
      </c>
      <c r="H139" t="s">
        <v>21</v>
      </c>
      <c r="I139" t="s">
        <v>43</v>
      </c>
      <c r="J139">
        <v>5</v>
      </c>
      <c r="K139">
        <v>58.37</v>
      </c>
      <c r="L139" s="3">
        <v>291.85000000000002</v>
      </c>
      <c r="M139" t="s">
        <v>35</v>
      </c>
    </row>
    <row r="140" spans="1:13" x14ac:dyDescent="0.25">
      <c r="A140" s="1">
        <v>44765</v>
      </c>
      <c r="B140" s="1" t="str">
        <f t="shared" si="4"/>
        <v>Saturday</v>
      </c>
      <c r="C140" s="1" t="str">
        <f t="shared" si="5"/>
        <v>July</v>
      </c>
      <c r="D140" t="s">
        <v>41</v>
      </c>
      <c r="E140" t="s">
        <v>29</v>
      </c>
      <c r="F140" t="s">
        <v>42</v>
      </c>
      <c r="G140" t="s">
        <v>26</v>
      </c>
      <c r="H140" t="s">
        <v>32</v>
      </c>
      <c r="I140" t="s">
        <v>27</v>
      </c>
      <c r="J140">
        <v>5</v>
      </c>
      <c r="K140">
        <v>241.67</v>
      </c>
      <c r="L140" s="3">
        <v>1208.3499999999999</v>
      </c>
      <c r="M140" t="s">
        <v>17</v>
      </c>
    </row>
    <row r="141" spans="1:13" x14ac:dyDescent="0.25">
      <c r="A141" s="1">
        <v>44767</v>
      </c>
      <c r="B141" s="1" t="str">
        <f t="shared" si="4"/>
        <v>Monday</v>
      </c>
      <c r="C141" s="1" t="str">
        <f t="shared" si="5"/>
        <v>July</v>
      </c>
      <c r="D141" t="s">
        <v>37</v>
      </c>
      <c r="E141" t="s">
        <v>29</v>
      </c>
      <c r="F141" t="s">
        <v>38</v>
      </c>
      <c r="G141" t="s">
        <v>26</v>
      </c>
      <c r="H141" t="s">
        <v>15</v>
      </c>
      <c r="I141" t="s">
        <v>22</v>
      </c>
      <c r="J141">
        <v>2</v>
      </c>
      <c r="K141">
        <v>89.67</v>
      </c>
      <c r="L141" s="3">
        <v>179.34</v>
      </c>
      <c r="M141" t="s">
        <v>35</v>
      </c>
    </row>
    <row r="142" spans="1:13" x14ac:dyDescent="0.25">
      <c r="A142" s="1">
        <v>44710</v>
      </c>
      <c r="B142" s="1" t="str">
        <f t="shared" si="4"/>
        <v>Sunday</v>
      </c>
      <c r="C142" s="1" t="str">
        <f t="shared" si="5"/>
        <v>May</v>
      </c>
      <c r="D142" t="s">
        <v>24</v>
      </c>
      <c r="E142" t="s">
        <v>19</v>
      </c>
      <c r="F142" t="s">
        <v>25</v>
      </c>
      <c r="G142" t="s">
        <v>26</v>
      </c>
      <c r="H142" t="s">
        <v>21</v>
      </c>
      <c r="I142" t="s">
        <v>39</v>
      </c>
      <c r="J142">
        <v>1</v>
      </c>
      <c r="K142">
        <v>132.09</v>
      </c>
      <c r="L142" s="3">
        <v>132.09</v>
      </c>
      <c r="M142" t="s">
        <v>35</v>
      </c>
    </row>
    <row r="143" spans="1:13" x14ac:dyDescent="0.25">
      <c r="A143" s="1">
        <v>44777</v>
      </c>
      <c r="B143" s="1" t="str">
        <f t="shared" si="4"/>
        <v>Thursday</v>
      </c>
      <c r="C143" s="1" t="str">
        <f t="shared" si="5"/>
        <v>August</v>
      </c>
      <c r="D143" t="s">
        <v>45</v>
      </c>
      <c r="E143" t="s">
        <v>46</v>
      </c>
      <c r="F143" t="s">
        <v>47</v>
      </c>
      <c r="G143" t="s">
        <v>26</v>
      </c>
      <c r="H143" t="s">
        <v>32</v>
      </c>
      <c r="I143" t="s">
        <v>16</v>
      </c>
      <c r="J143">
        <v>2</v>
      </c>
      <c r="K143">
        <v>202.18</v>
      </c>
      <c r="L143" s="3">
        <v>404.36</v>
      </c>
      <c r="M143" t="s">
        <v>35</v>
      </c>
    </row>
    <row r="144" spans="1:13" x14ac:dyDescent="0.25">
      <c r="A144" s="1">
        <v>44604</v>
      </c>
      <c r="B144" s="1" t="str">
        <f t="shared" si="4"/>
        <v>Saturday</v>
      </c>
      <c r="C144" s="1" t="str">
        <f t="shared" si="5"/>
        <v>February</v>
      </c>
      <c r="D144" t="s">
        <v>18</v>
      </c>
      <c r="E144" t="s">
        <v>19</v>
      </c>
      <c r="F144" t="s">
        <v>20</v>
      </c>
      <c r="G144" t="s">
        <v>30</v>
      </c>
      <c r="H144" t="s">
        <v>32</v>
      </c>
      <c r="I144" t="s">
        <v>34</v>
      </c>
      <c r="J144">
        <v>3</v>
      </c>
      <c r="K144">
        <v>90.19</v>
      </c>
      <c r="L144" s="3">
        <v>270.57</v>
      </c>
      <c r="M144" t="s">
        <v>23</v>
      </c>
    </row>
    <row r="145" spans="1:13" x14ac:dyDescent="0.25">
      <c r="A145" s="1">
        <v>44621</v>
      </c>
      <c r="B145" s="1" t="str">
        <f t="shared" si="4"/>
        <v>Tuesday</v>
      </c>
      <c r="C145" s="1" t="str">
        <f t="shared" si="5"/>
        <v>March</v>
      </c>
      <c r="D145" t="s">
        <v>28</v>
      </c>
      <c r="E145" t="s">
        <v>29</v>
      </c>
      <c r="F145" t="s">
        <v>25</v>
      </c>
      <c r="G145" t="s">
        <v>14</v>
      </c>
      <c r="H145" t="s">
        <v>21</v>
      </c>
      <c r="I145" t="s">
        <v>22</v>
      </c>
      <c r="J145">
        <v>2</v>
      </c>
      <c r="K145">
        <v>179.28</v>
      </c>
      <c r="L145" s="3">
        <v>358.56</v>
      </c>
      <c r="M145" t="s">
        <v>23</v>
      </c>
    </row>
    <row r="146" spans="1:13" x14ac:dyDescent="0.25">
      <c r="A146" s="1">
        <v>44643</v>
      </c>
      <c r="B146" s="1" t="str">
        <f t="shared" si="4"/>
        <v>Wednesday</v>
      </c>
      <c r="C146" s="1" t="str">
        <f t="shared" si="5"/>
        <v>March</v>
      </c>
      <c r="D146" t="s">
        <v>28</v>
      </c>
      <c r="E146" t="s">
        <v>29</v>
      </c>
      <c r="F146" t="s">
        <v>25</v>
      </c>
      <c r="G146" t="s">
        <v>30</v>
      </c>
      <c r="H146" t="s">
        <v>40</v>
      </c>
      <c r="I146" t="s">
        <v>22</v>
      </c>
      <c r="J146">
        <v>5</v>
      </c>
      <c r="K146">
        <v>188.61</v>
      </c>
      <c r="L146" s="3">
        <v>943.05</v>
      </c>
      <c r="M146" t="s">
        <v>36</v>
      </c>
    </row>
    <row r="147" spans="1:13" x14ac:dyDescent="0.25">
      <c r="A147" s="1">
        <v>44803</v>
      </c>
      <c r="B147" s="1" t="str">
        <f t="shared" si="4"/>
        <v>Tuesday</v>
      </c>
      <c r="C147" s="1" t="str">
        <f t="shared" si="5"/>
        <v>August</v>
      </c>
      <c r="D147" t="s">
        <v>11</v>
      </c>
      <c r="E147" t="s">
        <v>12</v>
      </c>
      <c r="F147" t="s">
        <v>13</v>
      </c>
      <c r="G147" t="s">
        <v>30</v>
      </c>
      <c r="H147" t="s">
        <v>40</v>
      </c>
      <c r="I147" t="s">
        <v>34</v>
      </c>
      <c r="J147">
        <v>2</v>
      </c>
      <c r="K147">
        <v>111.36</v>
      </c>
      <c r="L147" s="3">
        <v>222.72</v>
      </c>
      <c r="M147" t="s">
        <v>17</v>
      </c>
    </row>
    <row r="148" spans="1:13" x14ac:dyDescent="0.25">
      <c r="A148" s="1">
        <v>44610</v>
      </c>
      <c r="B148" s="1" t="str">
        <f t="shared" si="4"/>
        <v>Friday</v>
      </c>
      <c r="C148" s="1" t="str">
        <f t="shared" si="5"/>
        <v>February</v>
      </c>
      <c r="D148" t="s">
        <v>45</v>
      </c>
      <c r="E148" t="s">
        <v>46</v>
      </c>
      <c r="F148" t="s">
        <v>47</v>
      </c>
      <c r="G148" t="s">
        <v>26</v>
      </c>
      <c r="H148" t="s">
        <v>40</v>
      </c>
      <c r="I148" t="s">
        <v>34</v>
      </c>
      <c r="J148">
        <v>3</v>
      </c>
      <c r="K148">
        <v>53.98</v>
      </c>
      <c r="L148" s="3">
        <v>161.94</v>
      </c>
      <c r="M148" t="s">
        <v>23</v>
      </c>
    </row>
    <row r="149" spans="1:13" x14ac:dyDescent="0.25">
      <c r="A149" s="1">
        <v>44709</v>
      </c>
      <c r="B149" s="1" t="str">
        <f t="shared" si="4"/>
        <v>Saturday</v>
      </c>
      <c r="C149" s="1" t="str">
        <f t="shared" si="5"/>
        <v>May</v>
      </c>
      <c r="D149" t="s">
        <v>37</v>
      </c>
      <c r="E149" t="s">
        <v>29</v>
      </c>
      <c r="F149" t="s">
        <v>38</v>
      </c>
      <c r="G149" t="s">
        <v>14</v>
      </c>
      <c r="H149" t="s">
        <v>21</v>
      </c>
      <c r="I149" t="s">
        <v>39</v>
      </c>
      <c r="J149">
        <v>4</v>
      </c>
      <c r="K149">
        <v>240.64</v>
      </c>
      <c r="L149" s="3">
        <v>962.56</v>
      </c>
      <c r="M149" t="s">
        <v>23</v>
      </c>
    </row>
    <row r="150" spans="1:13" x14ac:dyDescent="0.25">
      <c r="A150" s="1">
        <v>44620</v>
      </c>
      <c r="B150" s="1" t="str">
        <f t="shared" si="4"/>
        <v>Monday</v>
      </c>
      <c r="C150" s="1" t="str">
        <f t="shared" si="5"/>
        <v>February</v>
      </c>
      <c r="D150" t="s">
        <v>37</v>
      </c>
      <c r="E150" t="s">
        <v>29</v>
      </c>
      <c r="F150" t="s">
        <v>38</v>
      </c>
      <c r="G150" t="s">
        <v>26</v>
      </c>
      <c r="H150" t="s">
        <v>32</v>
      </c>
      <c r="I150" t="s">
        <v>22</v>
      </c>
      <c r="J150">
        <v>5</v>
      </c>
      <c r="K150">
        <v>195.57</v>
      </c>
      <c r="L150" s="3">
        <v>977.85</v>
      </c>
      <c r="M150" t="s">
        <v>23</v>
      </c>
    </row>
    <row r="151" spans="1:13" x14ac:dyDescent="0.25">
      <c r="A151" s="1">
        <v>44629</v>
      </c>
      <c r="B151" s="1" t="str">
        <f t="shared" si="4"/>
        <v>Wednesday</v>
      </c>
      <c r="C151" s="1" t="str">
        <f t="shared" si="5"/>
        <v>March</v>
      </c>
      <c r="D151" t="s">
        <v>28</v>
      </c>
      <c r="E151" t="s">
        <v>29</v>
      </c>
      <c r="F151" t="s">
        <v>25</v>
      </c>
      <c r="G151" t="s">
        <v>14</v>
      </c>
      <c r="H151" t="s">
        <v>21</v>
      </c>
      <c r="I151" t="s">
        <v>39</v>
      </c>
      <c r="J151">
        <v>3</v>
      </c>
      <c r="K151">
        <v>224.66</v>
      </c>
      <c r="L151" s="3">
        <v>673.98</v>
      </c>
      <c r="M151" t="s">
        <v>23</v>
      </c>
    </row>
    <row r="152" spans="1:13" x14ac:dyDescent="0.25">
      <c r="A152" s="1">
        <v>44679</v>
      </c>
      <c r="B152" s="1" t="str">
        <f t="shared" si="4"/>
        <v>Thursday</v>
      </c>
      <c r="C152" s="1" t="str">
        <f t="shared" si="5"/>
        <v>April</v>
      </c>
      <c r="D152" t="s">
        <v>48</v>
      </c>
      <c r="E152" t="s">
        <v>49</v>
      </c>
      <c r="F152" t="s">
        <v>50</v>
      </c>
      <c r="G152" t="s">
        <v>26</v>
      </c>
      <c r="H152" t="s">
        <v>40</v>
      </c>
      <c r="I152" t="s">
        <v>39</v>
      </c>
      <c r="J152">
        <v>3</v>
      </c>
      <c r="K152">
        <v>65.2</v>
      </c>
      <c r="L152" s="3">
        <v>195.6</v>
      </c>
      <c r="M152" t="s">
        <v>36</v>
      </c>
    </row>
    <row r="153" spans="1:13" x14ac:dyDescent="0.25">
      <c r="A153" s="1">
        <v>44755</v>
      </c>
      <c r="B153" s="1" t="str">
        <f t="shared" si="4"/>
        <v>Wednesday</v>
      </c>
      <c r="C153" s="1" t="str">
        <f t="shared" si="5"/>
        <v>July</v>
      </c>
      <c r="D153" t="s">
        <v>44</v>
      </c>
      <c r="E153" t="s">
        <v>19</v>
      </c>
      <c r="F153" t="s">
        <v>20</v>
      </c>
      <c r="G153" t="s">
        <v>26</v>
      </c>
      <c r="H153" t="s">
        <v>15</v>
      </c>
      <c r="I153" t="s">
        <v>39</v>
      </c>
      <c r="J153">
        <v>4</v>
      </c>
      <c r="K153">
        <v>117.78</v>
      </c>
      <c r="L153" s="3">
        <v>471.12</v>
      </c>
      <c r="M153" t="s">
        <v>35</v>
      </c>
    </row>
    <row r="154" spans="1:13" x14ac:dyDescent="0.25">
      <c r="A154" s="1">
        <v>44601</v>
      </c>
      <c r="B154" s="1" t="str">
        <f t="shared" si="4"/>
        <v>Wednesday</v>
      </c>
      <c r="C154" s="1" t="str">
        <f t="shared" si="5"/>
        <v>February</v>
      </c>
      <c r="D154" t="s">
        <v>31</v>
      </c>
      <c r="E154" t="s">
        <v>19</v>
      </c>
      <c r="F154" t="s">
        <v>25</v>
      </c>
      <c r="G154" t="s">
        <v>26</v>
      </c>
      <c r="H154" t="s">
        <v>21</v>
      </c>
      <c r="I154" t="s">
        <v>43</v>
      </c>
      <c r="J154">
        <v>4</v>
      </c>
      <c r="K154">
        <v>214.93</v>
      </c>
      <c r="L154" s="3">
        <v>859.72</v>
      </c>
      <c r="M154" t="s">
        <v>17</v>
      </c>
    </row>
    <row r="155" spans="1:13" x14ac:dyDescent="0.25">
      <c r="A155" s="1">
        <v>44789</v>
      </c>
      <c r="B155" s="1" t="str">
        <f t="shared" si="4"/>
        <v>Tuesday</v>
      </c>
      <c r="C155" s="1" t="str">
        <f t="shared" si="5"/>
        <v>August</v>
      </c>
      <c r="D155" t="s">
        <v>48</v>
      </c>
      <c r="E155" t="s">
        <v>49</v>
      </c>
      <c r="F155" t="s">
        <v>50</v>
      </c>
      <c r="G155" t="s">
        <v>14</v>
      </c>
      <c r="H155" t="s">
        <v>15</v>
      </c>
      <c r="I155" t="s">
        <v>16</v>
      </c>
      <c r="J155">
        <v>2</v>
      </c>
      <c r="K155">
        <v>249.49</v>
      </c>
      <c r="L155" s="3">
        <v>498.98</v>
      </c>
      <c r="M155" t="s">
        <v>23</v>
      </c>
    </row>
    <row r="156" spans="1:13" x14ac:dyDescent="0.25">
      <c r="A156" s="1">
        <v>44725</v>
      </c>
      <c r="B156" s="1" t="str">
        <f t="shared" si="4"/>
        <v>Monday</v>
      </c>
      <c r="C156" s="1" t="str">
        <f t="shared" si="5"/>
        <v>June</v>
      </c>
      <c r="D156" t="s">
        <v>18</v>
      </c>
      <c r="E156" t="s">
        <v>19</v>
      </c>
      <c r="F156" t="s">
        <v>20</v>
      </c>
      <c r="G156" t="s">
        <v>30</v>
      </c>
      <c r="H156" t="s">
        <v>32</v>
      </c>
      <c r="I156" t="s">
        <v>43</v>
      </c>
      <c r="J156">
        <v>4</v>
      </c>
      <c r="K156">
        <v>141.35</v>
      </c>
      <c r="L156" s="3">
        <v>565.4</v>
      </c>
      <c r="M156" t="s">
        <v>35</v>
      </c>
    </row>
    <row r="157" spans="1:13" x14ac:dyDescent="0.25">
      <c r="A157" s="1">
        <v>44623</v>
      </c>
      <c r="B157" s="1" t="str">
        <f t="shared" si="4"/>
        <v>Thursday</v>
      </c>
      <c r="C157" s="1" t="str">
        <f t="shared" si="5"/>
        <v>March</v>
      </c>
      <c r="D157" t="s">
        <v>48</v>
      </c>
      <c r="E157" t="s">
        <v>49</v>
      </c>
      <c r="F157" t="s">
        <v>50</v>
      </c>
      <c r="G157" t="s">
        <v>14</v>
      </c>
      <c r="H157" t="s">
        <v>15</v>
      </c>
      <c r="I157" t="s">
        <v>16</v>
      </c>
      <c r="J157">
        <v>3</v>
      </c>
      <c r="K157">
        <v>264.14</v>
      </c>
      <c r="L157" s="3">
        <v>792.42</v>
      </c>
      <c r="M157" t="s">
        <v>17</v>
      </c>
    </row>
    <row r="158" spans="1:13" x14ac:dyDescent="0.25">
      <c r="A158" s="1">
        <v>44564</v>
      </c>
      <c r="B158" s="1" t="str">
        <f t="shared" si="4"/>
        <v>Monday</v>
      </c>
      <c r="C158" s="1" t="str">
        <f t="shared" si="5"/>
        <v>January</v>
      </c>
      <c r="D158" t="s">
        <v>11</v>
      </c>
      <c r="E158" t="s">
        <v>12</v>
      </c>
      <c r="F158" t="s">
        <v>13</v>
      </c>
      <c r="G158" t="s">
        <v>14</v>
      </c>
      <c r="H158" t="s">
        <v>32</v>
      </c>
      <c r="I158" t="s">
        <v>34</v>
      </c>
      <c r="J158">
        <v>5</v>
      </c>
      <c r="K158">
        <v>73.58</v>
      </c>
      <c r="L158" s="3">
        <v>367.9</v>
      </c>
      <c r="M158" t="s">
        <v>35</v>
      </c>
    </row>
    <row r="159" spans="1:13" x14ac:dyDescent="0.25">
      <c r="A159" s="1">
        <v>44768</v>
      </c>
      <c r="B159" s="1" t="str">
        <f t="shared" si="4"/>
        <v>Tuesday</v>
      </c>
      <c r="C159" s="1" t="str">
        <f t="shared" si="5"/>
        <v>July</v>
      </c>
      <c r="D159" t="s">
        <v>11</v>
      </c>
      <c r="E159" t="s">
        <v>12</v>
      </c>
      <c r="F159" t="s">
        <v>13</v>
      </c>
      <c r="G159" t="s">
        <v>14</v>
      </c>
      <c r="H159" t="s">
        <v>21</v>
      </c>
      <c r="I159" t="s">
        <v>22</v>
      </c>
      <c r="J159">
        <v>1</v>
      </c>
      <c r="K159">
        <v>106.59</v>
      </c>
      <c r="L159" s="3">
        <v>106.59</v>
      </c>
      <c r="M159" t="s">
        <v>17</v>
      </c>
    </row>
    <row r="160" spans="1:13" x14ac:dyDescent="0.25">
      <c r="A160" s="1">
        <v>44604</v>
      </c>
      <c r="B160" s="1" t="str">
        <f t="shared" si="4"/>
        <v>Saturday</v>
      </c>
      <c r="C160" s="1" t="str">
        <f t="shared" si="5"/>
        <v>February</v>
      </c>
      <c r="D160" t="s">
        <v>28</v>
      </c>
      <c r="E160" t="s">
        <v>29</v>
      </c>
      <c r="F160" t="s">
        <v>25</v>
      </c>
      <c r="G160" t="s">
        <v>30</v>
      </c>
      <c r="H160" t="s">
        <v>21</v>
      </c>
      <c r="I160" t="s">
        <v>39</v>
      </c>
      <c r="J160">
        <v>3</v>
      </c>
      <c r="K160">
        <v>59.98</v>
      </c>
      <c r="L160" s="3">
        <v>179.94</v>
      </c>
      <c r="M160" t="s">
        <v>35</v>
      </c>
    </row>
    <row r="161" spans="1:13" x14ac:dyDescent="0.25">
      <c r="A161" s="1">
        <v>44622</v>
      </c>
      <c r="B161" s="1" t="str">
        <f t="shared" si="4"/>
        <v>Wednesday</v>
      </c>
      <c r="C161" s="1" t="str">
        <f t="shared" si="5"/>
        <v>March</v>
      </c>
      <c r="D161" t="s">
        <v>48</v>
      </c>
      <c r="E161" t="s">
        <v>49</v>
      </c>
      <c r="F161" t="s">
        <v>50</v>
      </c>
      <c r="G161" t="s">
        <v>26</v>
      </c>
      <c r="H161" t="s">
        <v>32</v>
      </c>
      <c r="I161" t="s">
        <v>16</v>
      </c>
      <c r="J161">
        <v>3</v>
      </c>
      <c r="K161">
        <v>87.81</v>
      </c>
      <c r="L161" s="3">
        <v>263.43</v>
      </c>
      <c r="M161" t="s">
        <v>17</v>
      </c>
    </row>
    <row r="162" spans="1:13" x14ac:dyDescent="0.25">
      <c r="A162" s="1">
        <v>44657</v>
      </c>
      <c r="B162" s="1" t="str">
        <f t="shared" si="4"/>
        <v>Wednesday</v>
      </c>
      <c r="C162" s="1" t="str">
        <f t="shared" si="5"/>
        <v>April</v>
      </c>
      <c r="D162" t="s">
        <v>28</v>
      </c>
      <c r="E162" t="s">
        <v>29</v>
      </c>
      <c r="F162" t="s">
        <v>25</v>
      </c>
      <c r="G162" t="s">
        <v>30</v>
      </c>
      <c r="H162" t="s">
        <v>40</v>
      </c>
      <c r="I162" t="s">
        <v>16</v>
      </c>
      <c r="J162">
        <v>2</v>
      </c>
      <c r="K162">
        <v>283.60000000000002</v>
      </c>
      <c r="L162" s="3">
        <v>567.20000000000005</v>
      </c>
      <c r="M162" t="s">
        <v>35</v>
      </c>
    </row>
    <row r="163" spans="1:13" x14ac:dyDescent="0.25">
      <c r="A163" s="1">
        <v>44784</v>
      </c>
      <c r="B163" s="1" t="str">
        <f t="shared" si="4"/>
        <v>Thursday</v>
      </c>
      <c r="C163" s="1" t="str">
        <f t="shared" si="5"/>
        <v>August</v>
      </c>
      <c r="D163" t="s">
        <v>48</v>
      </c>
      <c r="E163" t="s">
        <v>49</v>
      </c>
      <c r="F163" t="s">
        <v>50</v>
      </c>
      <c r="G163" t="s">
        <v>30</v>
      </c>
      <c r="H163" t="s">
        <v>15</v>
      </c>
      <c r="I163" t="s">
        <v>16</v>
      </c>
      <c r="J163">
        <v>2</v>
      </c>
      <c r="K163">
        <v>194.31</v>
      </c>
      <c r="L163" s="3">
        <v>388.62</v>
      </c>
      <c r="M163" t="s">
        <v>35</v>
      </c>
    </row>
    <row r="164" spans="1:13" x14ac:dyDescent="0.25">
      <c r="A164" s="1">
        <v>44735</v>
      </c>
      <c r="B164" s="1" t="str">
        <f t="shared" si="4"/>
        <v>Thursday</v>
      </c>
      <c r="C164" s="1" t="str">
        <f t="shared" si="5"/>
        <v>June</v>
      </c>
      <c r="D164" t="s">
        <v>41</v>
      </c>
      <c r="E164" t="s">
        <v>29</v>
      </c>
      <c r="F164" t="s">
        <v>42</v>
      </c>
      <c r="G164" t="s">
        <v>14</v>
      </c>
      <c r="H164" t="s">
        <v>15</v>
      </c>
      <c r="I164" t="s">
        <v>16</v>
      </c>
      <c r="J164">
        <v>4</v>
      </c>
      <c r="K164">
        <v>199.68</v>
      </c>
      <c r="L164" s="3">
        <v>798.72</v>
      </c>
      <c r="M164" t="s">
        <v>36</v>
      </c>
    </row>
    <row r="165" spans="1:13" x14ac:dyDescent="0.25">
      <c r="A165" s="1">
        <v>44659</v>
      </c>
      <c r="B165" s="1" t="str">
        <f t="shared" si="4"/>
        <v>Friday</v>
      </c>
      <c r="C165" s="1" t="str">
        <f t="shared" si="5"/>
        <v>April</v>
      </c>
      <c r="D165" t="s">
        <v>11</v>
      </c>
      <c r="E165" t="s">
        <v>12</v>
      </c>
      <c r="F165" t="s">
        <v>13</v>
      </c>
      <c r="G165" t="s">
        <v>26</v>
      </c>
      <c r="H165" t="s">
        <v>40</v>
      </c>
      <c r="I165" t="s">
        <v>16</v>
      </c>
      <c r="J165">
        <v>5</v>
      </c>
      <c r="K165">
        <v>145.47</v>
      </c>
      <c r="L165" s="3">
        <v>727.35</v>
      </c>
      <c r="M165" t="s">
        <v>17</v>
      </c>
    </row>
    <row r="166" spans="1:13" x14ac:dyDescent="0.25">
      <c r="A166" s="1">
        <v>44592</v>
      </c>
      <c r="B166" s="1" t="str">
        <f t="shared" si="4"/>
        <v>Monday</v>
      </c>
      <c r="C166" s="1" t="str">
        <f t="shared" si="5"/>
        <v>January</v>
      </c>
      <c r="D166" t="s">
        <v>41</v>
      </c>
      <c r="E166" t="s">
        <v>29</v>
      </c>
      <c r="F166" t="s">
        <v>42</v>
      </c>
      <c r="G166" t="s">
        <v>26</v>
      </c>
      <c r="H166" t="s">
        <v>15</v>
      </c>
      <c r="I166" t="s">
        <v>33</v>
      </c>
      <c r="J166">
        <v>1</v>
      </c>
      <c r="K166">
        <v>141.11000000000001</v>
      </c>
      <c r="L166" s="3">
        <v>141.11000000000001</v>
      </c>
      <c r="M166" t="s">
        <v>35</v>
      </c>
    </row>
    <row r="167" spans="1:13" x14ac:dyDescent="0.25">
      <c r="A167" s="1">
        <v>44667</v>
      </c>
      <c r="B167" s="1" t="str">
        <f t="shared" si="4"/>
        <v>Saturday</v>
      </c>
      <c r="C167" s="1" t="str">
        <f t="shared" si="5"/>
        <v>April</v>
      </c>
      <c r="D167" t="s">
        <v>31</v>
      </c>
      <c r="E167" t="s">
        <v>19</v>
      </c>
      <c r="F167" t="s">
        <v>25</v>
      </c>
      <c r="G167" t="s">
        <v>26</v>
      </c>
      <c r="H167" t="s">
        <v>32</v>
      </c>
      <c r="I167" t="s">
        <v>34</v>
      </c>
      <c r="J167">
        <v>2</v>
      </c>
      <c r="K167">
        <v>188.4</v>
      </c>
      <c r="L167" s="3">
        <v>376.8</v>
      </c>
      <c r="M167" t="s">
        <v>17</v>
      </c>
    </row>
    <row r="168" spans="1:13" x14ac:dyDescent="0.25">
      <c r="A168" s="1">
        <v>44650</v>
      </c>
      <c r="B168" s="1" t="str">
        <f t="shared" si="4"/>
        <v>Wednesday</v>
      </c>
      <c r="C168" s="1" t="str">
        <f t="shared" si="5"/>
        <v>March</v>
      </c>
      <c r="D168" t="s">
        <v>41</v>
      </c>
      <c r="E168" t="s">
        <v>29</v>
      </c>
      <c r="F168" t="s">
        <v>42</v>
      </c>
      <c r="G168" t="s">
        <v>30</v>
      </c>
      <c r="H168" t="s">
        <v>15</v>
      </c>
      <c r="I168" t="s">
        <v>27</v>
      </c>
      <c r="J168">
        <v>4</v>
      </c>
      <c r="K168">
        <v>145.28</v>
      </c>
      <c r="L168" s="3">
        <v>581.12</v>
      </c>
      <c r="M168" t="s">
        <v>17</v>
      </c>
    </row>
    <row r="169" spans="1:13" x14ac:dyDescent="0.25">
      <c r="A169" s="1">
        <v>44757</v>
      </c>
      <c r="B169" s="1" t="str">
        <f t="shared" si="4"/>
        <v>Friday</v>
      </c>
      <c r="C169" s="1" t="str">
        <f t="shared" si="5"/>
        <v>July</v>
      </c>
      <c r="D169" t="s">
        <v>44</v>
      </c>
      <c r="E169" t="s">
        <v>19</v>
      </c>
      <c r="F169" t="s">
        <v>20</v>
      </c>
      <c r="G169" t="s">
        <v>30</v>
      </c>
      <c r="H169" t="s">
        <v>21</v>
      </c>
      <c r="I169" t="s">
        <v>33</v>
      </c>
      <c r="J169">
        <v>2</v>
      </c>
      <c r="K169">
        <v>277.48</v>
      </c>
      <c r="L169" s="3">
        <v>554.96</v>
      </c>
      <c r="M169" t="s">
        <v>17</v>
      </c>
    </row>
    <row r="170" spans="1:13" x14ac:dyDescent="0.25">
      <c r="A170" s="1">
        <v>44789</v>
      </c>
      <c r="B170" s="1" t="str">
        <f t="shared" si="4"/>
        <v>Tuesday</v>
      </c>
      <c r="C170" s="1" t="str">
        <f t="shared" si="5"/>
        <v>August</v>
      </c>
      <c r="D170" t="s">
        <v>28</v>
      </c>
      <c r="E170" t="s">
        <v>29</v>
      </c>
      <c r="F170" t="s">
        <v>25</v>
      </c>
      <c r="G170" t="s">
        <v>26</v>
      </c>
      <c r="H170" t="s">
        <v>15</v>
      </c>
      <c r="I170" t="s">
        <v>16</v>
      </c>
      <c r="J170">
        <v>4</v>
      </c>
      <c r="K170">
        <v>153.56</v>
      </c>
      <c r="L170" s="3">
        <v>614.24</v>
      </c>
      <c r="M170" t="s">
        <v>36</v>
      </c>
    </row>
    <row r="171" spans="1:13" x14ac:dyDescent="0.25">
      <c r="A171" s="1">
        <v>44635</v>
      </c>
      <c r="B171" s="1" t="str">
        <f t="shared" si="4"/>
        <v>Tuesday</v>
      </c>
      <c r="C171" s="1" t="str">
        <f t="shared" si="5"/>
        <v>March</v>
      </c>
      <c r="D171" t="s">
        <v>11</v>
      </c>
      <c r="E171" t="s">
        <v>12</v>
      </c>
      <c r="F171" t="s">
        <v>13</v>
      </c>
      <c r="G171" t="s">
        <v>30</v>
      </c>
      <c r="H171" t="s">
        <v>32</v>
      </c>
      <c r="I171" t="s">
        <v>16</v>
      </c>
      <c r="J171">
        <v>2</v>
      </c>
      <c r="K171">
        <v>74.83</v>
      </c>
      <c r="L171" s="3">
        <v>149.66</v>
      </c>
      <c r="M171" t="s">
        <v>17</v>
      </c>
    </row>
    <row r="172" spans="1:13" x14ac:dyDescent="0.25">
      <c r="A172" s="1">
        <v>44748</v>
      </c>
      <c r="B172" s="1" t="str">
        <f t="shared" si="4"/>
        <v>Wednesday</v>
      </c>
      <c r="C172" s="1" t="str">
        <f t="shared" si="5"/>
        <v>July</v>
      </c>
      <c r="D172" t="s">
        <v>41</v>
      </c>
      <c r="E172" t="s">
        <v>29</v>
      </c>
      <c r="F172" t="s">
        <v>42</v>
      </c>
      <c r="G172" t="s">
        <v>26</v>
      </c>
      <c r="H172" t="s">
        <v>15</v>
      </c>
      <c r="I172" t="s">
        <v>27</v>
      </c>
      <c r="J172">
        <v>1</v>
      </c>
      <c r="K172">
        <v>136.80000000000001</v>
      </c>
      <c r="L172" s="3">
        <v>136.80000000000001</v>
      </c>
      <c r="M172" t="s">
        <v>35</v>
      </c>
    </row>
    <row r="173" spans="1:13" x14ac:dyDescent="0.25">
      <c r="A173" s="1">
        <v>44738</v>
      </c>
      <c r="B173" s="1" t="str">
        <f t="shared" si="4"/>
        <v>Sunday</v>
      </c>
      <c r="C173" s="1" t="str">
        <f t="shared" si="5"/>
        <v>June</v>
      </c>
      <c r="D173" t="s">
        <v>18</v>
      </c>
      <c r="E173" t="s">
        <v>19</v>
      </c>
      <c r="F173" t="s">
        <v>20</v>
      </c>
      <c r="G173" t="s">
        <v>14</v>
      </c>
      <c r="H173" t="s">
        <v>32</v>
      </c>
      <c r="I173" t="s">
        <v>22</v>
      </c>
      <c r="J173">
        <v>3</v>
      </c>
      <c r="K173">
        <v>209.69</v>
      </c>
      <c r="L173" s="3">
        <v>629.07000000000005</v>
      </c>
      <c r="M173" t="s">
        <v>36</v>
      </c>
    </row>
    <row r="174" spans="1:13" x14ac:dyDescent="0.25">
      <c r="A174" s="1">
        <v>44638</v>
      </c>
      <c r="B174" s="1" t="str">
        <f t="shared" si="4"/>
        <v>Friday</v>
      </c>
      <c r="C174" s="1" t="str">
        <f t="shared" si="5"/>
        <v>March</v>
      </c>
      <c r="D174" t="s">
        <v>41</v>
      </c>
      <c r="E174" t="s">
        <v>29</v>
      </c>
      <c r="F174" t="s">
        <v>42</v>
      </c>
      <c r="G174" t="s">
        <v>30</v>
      </c>
      <c r="H174" t="s">
        <v>32</v>
      </c>
      <c r="I174" t="s">
        <v>43</v>
      </c>
      <c r="J174">
        <v>3</v>
      </c>
      <c r="K174">
        <v>200.87</v>
      </c>
      <c r="L174" s="3">
        <v>602.61</v>
      </c>
      <c r="M174" t="s">
        <v>23</v>
      </c>
    </row>
    <row r="175" spans="1:13" x14ac:dyDescent="0.25">
      <c r="A175" s="1">
        <v>44596</v>
      </c>
      <c r="B175" s="1" t="str">
        <f t="shared" si="4"/>
        <v>Friday</v>
      </c>
      <c r="C175" s="1" t="str">
        <f t="shared" si="5"/>
        <v>February</v>
      </c>
      <c r="D175" t="s">
        <v>48</v>
      </c>
      <c r="E175" t="s">
        <v>49</v>
      </c>
      <c r="F175" t="s">
        <v>50</v>
      </c>
      <c r="G175" t="s">
        <v>30</v>
      </c>
      <c r="H175" t="s">
        <v>21</v>
      </c>
      <c r="I175" t="s">
        <v>16</v>
      </c>
      <c r="J175">
        <v>1</v>
      </c>
      <c r="K175">
        <v>221.26</v>
      </c>
      <c r="L175" s="3">
        <v>221.26</v>
      </c>
      <c r="M175" t="s">
        <v>17</v>
      </c>
    </row>
    <row r="176" spans="1:13" x14ac:dyDescent="0.25">
      <c r="A176" s="1">
        <v>44564</v>
      </c>
      <c r="B176" s="1" t="str">
        <f t="shared" si="4"/>
        <v>Monday</v>
      </c>
      <c r="C176" s="1" t="str">
        <f t="shared" si="5"/>
        <v>January</v>
      </c>
      <c r="D176" t="s">
        <v>24</v>
      </c>
      <c r="E176" t="s">
        <v>19</v>
      </c>
      <c r="F176" t="s">
        <v>25</v>
      </c>
      <c r="G176" t="s">
        <v>26</v>
      </c>
      <c r="H176" t="s">
        <v>21</v>
      </c>
      <c r="I176" t="s">
        <v>22</v>
      </c>
      <c r="J176">
        <v>5</v>
      </c>
      <c r="K176">
        <v>176.98</v>
      </c>
      <c r="L176" s="3">
        <v>884.9</v>
      </c>
      <c r="M176" t="s">
        <v>17</v>
      </c>
    </row>
    <row r="177" spans="1:13" x14ac:dyDescent="0.25">
      <c r="A177" s="1">
        <v>44779</v>
      </c>
      <c r="B177" s="1" t="str">
        <f t="shared" si="4"/>
        <v>Saturday</v>
      </c>
      <c r="C177" s="1" t="str">
        <f t="shared" si="5"/>
        <v>August</v>
      </c>
      <c r="D177" t="s">
        <v>45</v>
      </c>
      <c r="E177" t="s">
        <v>46</v>
      </c>
      <c r="F177" t="s">
        <v>47</v>
      </c>
      <c r="G177" t="s">
        <v>30</v>
      </c>
      <c r="H177" t="s">
        <v>32</v>
      </c>
      <c r="I177" t="s">
        <v>34</v>
      </c>
      <c r="J177">
        <v>5</v>
      </c>
      <c r="K177">
        <v>77.08</v>
      </c>
      <c r="L177" s="3">
        <v>385.4</v>
      </c>
      <c r="M177" t="s">
        <v>36</v>
      </c>
    </row>
    <row r="178" spans="1:13" x14ac:dyDescent="0.25">
      <c r="A178" s="1">
        <v>44626</v>
      </c>
      <c r="B178" s="1" t="str">
        <f t="shared" si="4"/>
        <v>Sunday</v>
      </c>
      <c r="C178" s="1" t="str">
        <f t="shared" si="5"/>
        <v>March</v>
      </c>
      <c r="D178" t="s">
        <v>31</v>
      </c>
      <c r="E178" t="s">
        <v>19</v>
      </c>
      <c r="F178" t="s">
        <v>25</v>
      </c>
      <c r="G178" t="s">
        <v>30</v>
      </c>
      <c r="H178" t="s">
        <v>32</v>
      </c>
      <c r="I178" t="s">
        <v>39</v>
      </c>
      <c r="J178">
        <v>4</v>
      </c>
      <c r="K178">
        <v>239.54</v>
      </c>
      <c r="L178" s="3">
        <v>958.16</v>
      </c>
      <c r="M178" t="s">
        <v>36</v>
      </c>
    </row>
    <row r="179" spans="1:13" x14ac:dyDescent="0.25">
      <c r="A179" s="1">
        <v>44639</v>
      </c>
      <c r="B179" s="1" t="str">
        <f t="shared" si="4"/>
        <v>Saturday</v>
      </c>
      <c r="C179" s="1" t="str">
        <f t="shared" si="5"/>
        <v>March</v>
      </c>
      <c r="D179" t="s">
        <v>41</v>
      </c>
      <c r="E179" t="s">
        <v>29</v>
      </c>
      <c r="F179" t="s">
        <v>42</v>
      </c>
      <c r="G179" t="s">
        <v>30</v>
      </c>
      <c r="H179" t="s">
        <v>21</v>
      </c>
      <c r="I179" t="s">
        <v>43</v>
      </c>
      <c r="J179">
        <v>5</v>
      </c>
      <c r="K179">
        <v>179.54</v>
      </c>
      <c r="L179" s="3">
        <v>897.7</v>
      </c>
      <c r="M179" t="s">
        <v>35</v>
      </c>
    </row>
    <row r="180" spans="1:13" x14ac:dyDescent="0.25">
      <c r="A180" s="1">
        <v>44656</v>
      </c>
      <c r="B180" s="1" t="str">
        <f t="shared" si="4"/>
        <v>Tuesday</v>
      </c>
      <c r="C180" s="1" t="str">
        <f t="shared" si="5"/>
        <v>April</v>
      </c>
      <c r="D180" t="s">
        <v>37</v>
      </c>
      <c r="E180" t="s">
        <v>29</v>
      </c>
      <c r="F180" t="s">
        <v>38</v>
      </c>
      <c r="G180" t="s">
        <v>26</v>
      </c>
      <c r="H180" t="s">
        <v>21</v>
      </c>
      <c r="I180" t="s">
        <v>39</v>
      </c>
      <c r="J180">
        <v>3</v>
      </c>
      <c r="K180">
        <v>274.23</v>
      </c>
      <c r="L180" s="3">
        <v>822.69</v>
      </c>
      <c r="M180" t="s">
        <v>23</v>
      </c>
    </row>
    <row r="181" spans="1:13" x14ac:dyDescent="0.25">
      <c r="A181" s="1">
        <v>44631</v>
      </c>
      <c r="B181" s="1" t="str">
        <f t="shared" si="4"/>
        <v>Friday</v>
      </c>
      <c r="C181" s="1" t="str">
        <f t="shared" si="5"/>
        <v>March</v>
      </c>
      <c r="D181" t="s">
        <v>28</v>
      </c>
      <c r="E181" t="s">
        <v>29</v>
      </c>
      <c r="F181" t="s">
        <v>25</v>
      </c>
      <c r="G181" t="s">
        <v>26</v>
      </c>
      <c r="H181" t="s">
        <v>15</v>
      </c>
      <c r="I181" t="s">
        <v>43</v>
      </c>
      <c r="J181">
        <v>5</v>
      </c>
      <c r="K181">
        <v>99.89</v>
      </c>
      <c r="L181" s="3">
        <v>499.45</v>
      </c>
      <c r="M181" t="s">
        <v>23</v>
      </c>
    </row>
    <row r="182" spans="1:13" x14ac:dyDescent="0.25">
      <c r="A182" s="1">
        <v>44654</v>
      </c>
      <c r="B182" s="1" t="str">
        <f t="shared" si="4"/>
        <v>Sunday</v>
      </c>
      <c r="C182" s="1" t="str">
        <f t="shared" si="5"/>
        <v>April</v>
      </c>
      <c r="D182" t="s">
        <v>18</v>
      </c>
      <c r="E182" t="s">
        <v>19</v>
      </c>
      <c r="F182" t="s">
        <v>20</v>
      </c>
      <c r="G182" t="s">
        <v>26</v>
      </c>
      <c r="H182" t="s">
        <v>40</v>
      </c>
      <c r="I182" t="s">
        <v>34</v>
      </c>
      <c r="J182">
        <v>4</v>
      </c>
      <c r="K182">
        <v>148.11000000000001</v>
      </c>
      <c r="L182" s="3">
        <v>592.44000000000005</v>
      </c>
      <c r="M182" t="s">
        <v>23</v>
      </c>
    </row>
    <row r="183" spans="1:13" x14ac:dyDescent="0.25">
      <c r="A183" s="1">
        <v>44742</v>
      </c>
      <c r="B183" s="1" t="str">
        <f t="shared" si="4"/>
        <v>Thursday</v>
      </c>
      <c r="C183" s="1" t="str">
        <f t="shared" si="5"/>
        <v>June</v>
      </c>
      <c r="D183" t="s">
        <v>31</v>
      </c>
      <c r="E183" t="s">
        <v>19</v>
      </c>
      <c r="F183" t="s">
        <v>25</v>
      </c>
      <c r="G183" t="s">
        <v>14</v>
      </c>
      <c r="H183" t="s">
        <v>40</v>
      </c>
      <c r="I183" t="s">
        <v>43</v>
      </c>
      <c r="J183">
        <v>5</v>
      </c>
      <c r="K183">
        <v>81.97</v>
      </c>
      <c r="L183" s="3">
        <v>409.85</v>
      </c>
      <c r="M183" t="s">
        <v>23</v>
      </c>
    </row>
    <row r="184" spans="1:13" x14ac:dyDescent="0.25">
      <c r="A184" s="1">
        <v>44570</v>
      </c>
      <c r="B184" s="1" t="str">
        <f t="shared" si="4"/>
        <v>Sunday</v>
      </c>
      <c r="C184" s="1" t="str">
        <f t="shared" si="5"/>
        <v>January</v>
      </c>
      <c r="D184" t="s">
        <v>18</v>
      </c>
      <c r="E184" t="s">
        <v>19</v>
      </c>
      <c r="F184" t="s">
        <v>20</v>
      </c>
      <c r="G184" t="s">
        <v>26</v>
      </c>
      <c r="H184" t="s">
        <v>15</v>
      </c>
      <c r="I184" t="s">
        <v>43</v>
      </c>
      <c r="J184">
        <v>3</v>
      </c>
      <c r="K184">
        <v>291.29000000000002</v>
      </c>
      <c r="L184" s="3">
        <v>873.87</v>
      </c>
      <c r="M184" t="s">
        <v>36</v>
      </c>
    </row>
    <row r="185" spans="1:13" x14ac:dyDescent="0.25">
      <c r="A185" s="1">
        <v>44683</v>
      </c>
      <c r="B185" s="1" t="str">
        <f t="shared" si="4"/>
        <v>Monday</v>
      </c>
      <c r="C185" s="1" t="str">
        <f t="shared" si="5"/>
        <v>May</v>
      </c>
      <c r="D185" t="s">
        <v>44</v>
      </c>
      <c r="E185" t="s">
        <v>19</v>
      </c>
      <c r="F185" t="s">
        <v>20</v>
      </c>
      <c r="G185" t="s">
        <v>30</v>
      </c>
      <c r="H185" t="s">
        <v>21</v>
      </c>
      <c r="I185" t="s">
        <v>39</v>
      </c>
      <c r="J185">
        <v>5</v>
      </c>
      <c r="K185">
        <v>138.94999999999999</v>
      </c>
      <c r="L185" s="3">
        <v>694.75</v>
      </c>
      <c r="M185" t="s">
        <v>35</v>
      </c>
    </row>
    <row r="186" spans="1:13" x14ac:dyDescent="0.25">
      <c r="A186" s="1">
        <v>44588</v>
      </c>
      <c r="B186" s="1" t="str">
        <f t="shared" si="4"/>
        <v>Thursday</v>
      </c>
      <c r="C186" s="1" t="str">
        <f t="shared" si="5"/>
        <v>January</v>
      </c>
      <c r="D186" t="s">
        <v>44</v>
      </c>
      <c r="E186" t="s">
        <v>19</v>
      </c>
      <c r="F186" t="s">
        <v>20</v>
      </c>
      <c r="G186" t="s">
        <v>30</v>
      </c>
      <c r="H186" t="s">
        <v>21</v>
      </c>
      <c r="I186" t="s">
        <v>16</v>
      </c>
      <c r="J186">
        <v>4</v>
      </c>
      <c r="K186">
        <v>208.19</v>
      </c>
      <c r="L186" s="3">
        <v>832.76</v>
      </c>
      <c r="M186" t="s">
        <v>36</v>
      </c>
    </row>
    <row r="187" spans="1:13" x14ac:dyDescent="0.25">
      <c r="A187" s="1">
        <v>44769</v>
      </c>
      <c r="B187" s="1" t="str">
        <f t="shared" si="4"/>
        <v>Wednesday</v>
      </c>
      <c r="C187" s="1" t="str">
        <f t="shared" si="5"/>
        <v>July</v>
      </c>
      <c r="D187" t="s">
        <v>31</v>
      </c>
      <c r="E187" t="s">
        <v>19</v>
      </c>
      <c r="F187" t="s">
        <v>25</v>
      </c>
      <c r="G187" t="s">
        <v>30</v>
      </c>
      <c r="H187" t="s">
        <v>15</v>
      </c>
      <c r="I187" t="s">
        <v>43</v>
      </c>
      <c r="J187">
        <v>5</v>
      </c>
      <c r="K187">
        <v>291.7</v>
      </c>
      <c r="L187" s="3">
        <v>1458.5</v>
      </c>
      <c r="M187" t="s">
        <v>36</v>
      </c>
    </row>
    <row r="188" spans="1:13" x14ac:dyDescent="0.25">
      <c r="A188" s="1">
        <v>44722</v>
      </c>
      <c r="B188" s="1" t="str">
        <f t="shared" si="4"/>
        <v>Friday</v>
      </c>
      <c r="C188" s="1" t="str">
        <f t="shared" si="5"/>
        <v>June</v>
      </c>
      <c r="D188" t="s">
        <v>11</v>
      </c>
      <c r="E188" t="s">
        <v>12</v>
      </c>
      <c r="F188" t="s">
        <v>13</v>
      </c>
      <c r="G188" t="s">
        <v>26</v>
      </c>
      <c r="H188" t="s">
        <v>40</v>
      </c>
      <c r="I188" t="s">
        <v>33</v>
      </c>
      <c r="J188">
        <v>3</v>
      </c>
      <c r="K188">
        <v>209.89</v>
      </c>
      <c r="L188" s="3">
        <v>629.66999999999996</v>
      </c>
      <c r="M188" t="s">
        <v>35</v>
      </c>
    </row>
    <row r="189" spans="1:13" x14ac:dyDescent="0.25">
      <c r="A189" s="1">
        <v>44685</v>
      </c>
      <c r="B189" s="1" t="str">
        <f t="shared" si="4"/>
        <v>Wednesday</v>
      </c>
      <c r="C189" s="1" t="str">
        <f t="shared" si="5"/>
        <v>May</v>
      </c>
      <c r="D189" t="s">
        <v>31</v>
      </c>
      <c r="E189" t="s">
        <v>19</v>
      </c>
      <c r="F189" t="s">
        <v>25</v>
      </c>
      <c r="G189" t="s">
        <v>14</v>
      </c>
      <c r="H189" t="s">
        <v>32</v>
      </c>
      <c r="I189" t="s">
        <v>16</v>
      </c>
      <c r="J189">
        <v>4</v>
      </c>
      <c r="K189">
        <v>171.49</v>
      </c>
      <c r="L189" s="3">
        <v>685.96</v>
      </c>
      <c r="M189" t="s">
        <v>23</v>
      </c>
    </row>
    <row r="190" spans="1:13" x14ac:dyDescent="0.25">
      <c r="A190" s="1">
        <v>44578</v>
      </c>
      <c r="B190" s="1" t="str">
        <f t="shared" si="4"/>
        <v>Monday</v>
      </c>
      <c r="C190" s="1" t="str">
        <f t="shared" si="5"/>
        <v>January</v>
      </c>
      <c r="D190" t="s">
        <v>28</v>
      </c>
      <c r="E190" t="s">
        <v>29</v>
      </c>
      <c r="F190" t="s">
        <v>25</v>
      </c>
      <c r="G190" t="s">
        <v>30</v>
      </c>
      <c r="H190" t="s">
        <v>32</v>
      </c>
      <c r="I190" t="s">
        <v>27</v>
      </c>
      <c r="J190">
        <v>3</v>
      </c>
      <c r="K190">
        <v>156.22</v>
      </c>
      <c r="L190" s="3">
        <v>468.66</v>
      </c>
      <c r="M190" t="s">
        <v>36</v>
      </c>
    </row>
    <row r="191" spans="1:13" x14ac:dyDescent="0.25">
      <c r="A191" s="1">
        <v>44719</v>
      </c>
      <c r="B191" s="1" t="str">
        <f t="shared" si="4"/>
        <v>Tuesday</v>
      </c>
      <c r="C191" s="1" t="str">
        <f t="shared" si="5"/>
        <v>June</v>
      </c>
      <c r="D191" t="s">
        <v>18</v>
      </c>
      <c r="E191" t="s">
        <v>19</v>
      </c>
      <c r="F191" t="s">
        <v>20</v>
      </c>
      <c r="G191" t="s">
        <v>30</v>
      </c>
      <c r="H191" t="s">
        <v>21</v>
      </c>
      <c r="I191" t="s">
        <v>16</v>
      </c>
      <c r="J191">
        <v>4</v>
      </c>
      <c r="K191">
        <v>158.82</v>
      </c>
      <c r="L191" s="3">
        <v>635.28</v>
      </c>
      <c r="M191" t="s">
        <v>35</v>
      </c>
    </row>
    <row r="192" spans="1:13" x14ac:dyDescent="0.25">
      <c r="A192" s="1">
        <v>44754</v>
      </c>
      <c r="B192" s="1" t="str">
        <f t="shared" si="4"/>
        <v>Tuesday</v>
      </c>
      <c r="C192" s="1" t="str">
        <f t="shared" si="5"/>
        <v>July</v>
      </c>
      <c r="D192" t="s">
        <v>37</v>
      </c>
      <c r="E192" t="s">
        <v>29</v>
      </c>
      <c r="F192" t="s">
        <v>38</v>
      </c>
      <c r="G192" t="s">
        <v>30</v>
      </c>
      <c r="H192" t="s">
        <v>40</v>
      </c>
      <c r="I192" t="s">
        <v>34</v>
      </c>
      <c r="J192">
        <v>3</v>
      </c>
      <c r="K192">
        <v>218.91</v>
      </c>
      <c r="L192" s="3">
        <v>656.73</v>
      </c>
      <c r="M192" t="s">
        <v>36</v>
      </c>
    </row>
    <row r="193" spans="1:13" x14ac:dyDescent="0.25">
      <c r="A193" s="1">
        <v>44769</v>
      </c>
      <c r="B193" s="1" t="str">
        <f t="shared" si="4"/>
        <v>Wednesday</v>
      </c>
      <c r="C193" s="1" t="str">
        <f t="shared" si="5"/>
        <v>July</v>
      </c>
      <c r="D193" t="s">
        <v>41</v>
      </c>
      <c r="E193" t="s">
        <v>29</v>
      </c>
      <c r="F193" t="s">
        <v>42</v>
      </c>
      <c r="G193" t="s">
        <v>26</v>
      </c>
      <c r="H193" t="s">
        <v>15</v>
      </c>
      <c r="I193" t="s">
        <v>33</v>
      </c>
      <c r="J193">
        <v>5</v>
      </c>
      <c r="K193">
        <v>54.88</v>
      </c>
      <c r="L193" s="3">
        <v>274.39999999999998</v>
      </c>
      <c r="M193" t="s">
        <v>36</v>
      </c>
    </row>
    <row r="194" spans="1:13" x14ac:dyDescent="0.25">
      <c r="A194" s="1">
        <v>44689</v>
      </c>
      <c r="B194" s="1" t="str">
        <f t="shared" ref="B194:B257" si="6">TEXT(A194,"DDDD")</f>
        <v>Sunday</v>
      </c>
      <c r="C194" s="1" t="str">
        <f t="shared" ref="C194:C257" si="7">TEXT(A194,"MMMM")</f>
        <v>May</v>
      </c>
      <c r="D194" t="s">
        <v>45</v>
      </c>
      <c r="E194" t="s">
        <v>46</v>
      </c>
      <c r="F194" t="s">
        <v>47</v>
      </c>
      <c r="G194" t="s">
        <v>26</v>
      </c>
      <c r="H194" t="s">
        <v>40</v>
      </c>
      <c r="I194" t="s">
        <v>39</v>
      </c>
      <c r="J194">
        <v>1</v>
      </c>
      <c r="K194">
        <v>75.27</v>
      </c>
      <c r="L194" s="3">
        <v>75.27</v>
      </c>
      <c r="M194" t="s">
        <v>17</v>
      </c>
    </row>
    <row r="195" spans="1:13" x14ac:dyDescent="0.25">
      <c r="A195" s="1">
        <v>44724</v>
      </c>
      <c r="B195" s="1" t="str">
        <f t="shared" si="6"/>
        <v>Sunday</v>
      </c>
      <c r="C195" s="1" t="str">
        <f t="shared" si="7"/>
        <v>June</v>
      </c>
      <c r="D195" t="s">
        <v>48</v>
      </c>
      <c r="E195" t="s">
        <v>49</v>
      </c>
      <c r="F195" t="s">
        <v>50</v>
      </c>
      <c r="G195" t="s">
        <v>30</v>
      </c>
      <c r="H195" t="s">
        <v>15</v>
      </c>
      <c r="I195" t="s">
        <v>43</v>
      </c>
      <c r="J195">
        <v>1</v>
      </c>
      <c r="K195">
        <v>144.04</v>
      </c>
      <c r="L195" s="3">
        <v>144.04</v>
      </c>
      <c r="M195" t="s">
        <v>23</v>
      </c>
    </row>
    <row r="196" spans="1:13" x14ac:dyDescent="0.25">
      <c r="A196" s="1">
        <v>44768</v>
      </c>
      <c r="B196" s="1" t="str">
        <f t="shared" si="6"/>
        <v>Tuesday</v>
      </c>
      <c r="C196" s="1" t="str">
        <f t="shared" si="7"/>
        <v>July</v>
      </c>
      <c r="D196" t="s">
        <v>31</v>
      </c>
      <c r="E196" t="s">
        <v>19</v>
      </c>
      <c r="F196" t="s">
        <v>25</v>
      </c>
      <c r="G196" t="s">
        <v>30</v>
      </c>
      <c r="H196" t="s">
        <v>21</v>
      </c>
      <c r="I196" t="s">
        <v>27</v>
      </c>
      <c r="J196">
        <v>4</v>
      </c>
      <c r="K196">
        <v>196.45</v>
      </c>
      <c r="L196" s="3">
        <v>785.8</v>
      </c>
      <c r="M196" t="s">
        <v>35</v>
      </c>
    </row>
    <row r="197" spans="1:13" x14ac:dyDescent="0.25">
      <c r="A197" s="1">
        <v>44578</v>
      </c>
      <c r="B197" s="1" t="str">
        <f t="shared" si="6"/>
        <v>Monday</v>
      </c>
      <c r="C197" s="1" t="str">
        <f t="shared" si="7"/>
        <v>January</v>
      </c>
      <c r="D197" t="s">
        <v>24</v>
      </c>
      <c r="E197" t="s">
        <v>19</v>
      </c>
      <c r="F197" t="s">
        <v>25</v>
      </c>
      <c r="G197" t="s">
        <v>30</v>
      </c>
      <c r="H197" t="s">
        <v>15</v>
      </c>
      <c r="I197" t="s">
        <v>22</v>
      </c>
      <c r="J197">
        <v>3</v>
      </c>
      <c r="K197">
        <v>213.66</v>
      </c>
      <c r="L197" s="3">
        <v>640.98</v>
      </c>
      <c r="M197" t="s">
        <v>17</v>
      </c>
    </row>
    <row r="198" spans="1:13" x14ac:dyDescent="0.25">
      <c r="A198" s="1">
        <v>44789</v>
      </c>
      <c r="B198" s="1" t="str">
        <f t="shared" si="6"/>
        <v>Tuesday</v>
      </c>
      <c r="C198" s="1" t="str">
        <f t="shared" si="7"/>
        <v>August</v>
      </c>
      <c r="D198" t="s">
        <v>18</v>
      </c>
      <c r="E198" t="s">
        <v>19</v>
      </c>
      <c r="F198" t="s">
        <v>20</v>
      </c>
      <c r="G198" t="s">
        <v>30</v>
      </c>
      <c r="H198" t="s">
        <v>21</v>
      </c>
      <c r="I198" t="s">
        <v>34</v>
      </c>
      <c r="J198">
        <v>1</v>
      </c>
      <c r="K198">
        <v>164.57</v>
      </c>
      <c r="L198" s="3">
        <v>164.57</v>
      </c>
      <c r="M198" t="s">
        <v>23</v>
      </c>
    </row>
    <row r="199" spans="1:13" x14ac:dyDescent="0.25">
      <c r="A199" s="1">
        <v>44664</v>
      </c>
      <c r="B199" s="1" t="str">
        <f t="shared" si="6"/>
        <v>Wednesday</v>
      </c>
      <c r="C199" s="1" t="str">
        <f t="shared" si="7"/>
        <v>April</v>
      </c>
      <c r="D199" t="s">
        <v>31</v>
      </c>
      <c r="E199" t="s">
        <v>19</v>
      </c>
      <c r="F199" t="s">
        <v>25</v>
      </c>
      <c r="G199" t="s">
        <v>30</v>
      </c>
      <c r="H199" t="s">
        <v>32</v>
      </c>
      <c r="I199" t="s">
        <v>39</v>
      </c>
      <c r="J199">
        <v>4</v>
      </c>
      <c r="K199">
        <v>203.25</v>
      </c>
      <c r="L199" s="3">
        <v>813</v>
      </c>
      <c r="M199" t="s">
        <v>36</v>
      </c>
    </row>
    <row r="200" spans="1:13" x14ac:dyDescent="0.25">
      <c r="A200" s="1">
        <v>44694</v>
      </c>
      <c r="B200" s="1" t="str">
        <f t="shared" si="6"/>
        <v>Friday</v>
      </c>
      <c r="C200" s="1" t="str">
        <f t="shared" si="7"/>
        <v>May</v>
      </c>
      <c r="D200" t="s">
        <v>37</v>
      </c>
      <c r="E200" t="s">
        <v>29</v>
      </c>
      <c r="F200" t="s">
        <v>38</v>
      </c>
      <c r="G200" t="s">
        <v>26</v>
      </c>
      <c r="H200" t="s">
        <v>40</v>
      </c>
      <c r="I200" t="s">
        <v>34</v>
      </c>
      <c r="J200">
        <v>5</v>
      </c>
      <c r="K200">
        <v>91.11</v>
      </c>
      <c r="L200" s="3">
        <v>455.55</v>
      </c>
      <c r="M200" t="s">
        <v>23</v>
      </c>
    </row>
    <row r="201" spans="1:13" x14ac:dyDescent="0.25">
      <c r="A201" s="1">
        <v>44609</v>
      </c>
      <c r="B201" s="1" t="str">
        <f t="shared" si="6"/>
        <v>Thursday</v>
      </c>
      <c r="C201" s="1" t="str">
        <f t="shared" si="7"/>
        <v>February</v>
      </c>
      <c r="D201" t="s">
        <v>37</v>
      </c>
      <c r="E201" t="s">
        <v>29</v>
      </c>
      <c r="F201" t="s">
        <v>38</v>
      </c>
      <c r="G201" t="s">
        <v>14</v>
      </c>
      <c r="H201" t="s">
        <v>21</v>
      </c>
      <c r="I201" t="s">
        <v>22</v>
      </c>
      <c r="J201">
        <v>3</v>
      </c>
      <c r="K201">
        <v>57.92</v>
      </c>
      <c r="L201" s="3">
        <v>173.76</v>
      </c>
      <c r="M201" t="s">
        <v>23</v>
      </c>
    </row>
    <row r="202" spans="1:13" x14ac:dyDescent="0.25">
      <c r="A202" s="1">
        <v>44773</v>
      </c>
      <c r="B202" s="1" t="str">
        <f t="shared" si="6"/>
        <v>Sunday</v>
      </c>
      <c r="C202" s="1" t="str">
        <f t="shared" si="7"/>
        <v>July</v>
      </c>
      <c r="D202" t="s">
        <v>31</v>
      </c>
      <c r="E202" t="s">
        <v>19</v>
      </c>
      <c r="F202" t="s">
        <v>25</v>
      </c>
      <c r="G202" t="s">
        <v>26</v>
      </c>
      <c r="H202" t="s">
        <v>15</v>
      </c>
      <c r="I202" t="s">
        <v>16</v>
      </c>
      <c r="J202">
        <v>3</v>
      </c>
      <c r="K202">
        <v>209.3</v>
      </c>
      <c r="L202" s="3">
        <v>627.9</v>
      </c>
      <c r="M202" t="s">
        <v>36</v>
      </c>
    </row>
    <row r="203" spans="1:13" x14ac:dyDescent="0.25">
      <c r="A203" s="1">
        <v>44798</v>
      </c>
      <c r="B203" s="1" t="str">
        <f t="shared" si="6"/>
        <v>Thursday</v>
      </c>
      <c r="C203" s="1" t="str">
        <f t="shared" si="7"/>
        <v>August</v>
      </c>
      <c r="D203" t="s">
        <v>44</v>
      </c>
      <c r="E203" t="s">
        <v>19</v>
      </c>
      <c r="F203" t="s">
        <v>20</v>
      </c>
      <c r="G203" t="s">
        <v>14</v>
      </c>
      <c r="H203" t="s">
        <v>32</v>
      </c>
      <c r="I203" t="s">
        <v>27</v>
      </c>
      <c r="J203">
        <v>1</v>
      </c>
      <c r="K203">
        <v>112.26</v>
      </c>
      <c r="L203" s="3">
        <v>112.26</v>
      </c>
      <c r="M203" t="s">
        <v>35</v>
      </c>
    </row>
    <row r="204" spans="1:13" x14ac:dyDescent="0.25">
      <c r="A204" s="1">
        <v>44803</v>
      </c>
      <c r="B204" s="1" t="str">
        <f t="shared" si="6"/>
        <v>Tuesday</v>
      </c>
      <c r="C204" s="1" t="str">
        <f t="shared" si="7"/>
        <v>August</v>
      </c>
      <c r="D204" t="s">
        <v>24</v>
      </c>
      <c r="E204" t="s">
        <v>19</v>
      </c>
      <c r="F204" t="s">
        <v>25</v>
      </c>
      <c r="G204" t="s">
        <v>26</v>
      </c>
      <c r="H204" t="s">
        <v>15</v>
      </c>
      <c r="I204" t="s">
        <v>39</v>
      </c>
      <c r="J204">
        <v>2</v>
      </c>
      <c r="K204">
        <v>216.83</v>
      </c>
      <c r="L204" s="3">
        <v>433.66</v>
      </c>
      <c r="M204" t="s">
        <v>35</v>
      </c>
    </row>
    <row r="205" spans="1:13" x14ac:dyDescent="0.25">
      <c r="A205" s="1">
        <v>44763</v>
      </c>
      <c r="B205" s="1" t="str">
        <f t="shared" si="6"/>
        <v>Thursday</v>
      </c>
      <c r="C205" s="1" t="str">
        <f t="shared" si="7"/>
        <v>July</v>
      </c>
      <c r="D205" t="s">
        <v>48</v>
      </c>
      <c r="E205" t="s">
        <v>49</v>
      </c>
      <c r="F205" t="s">
        <v>50</v>
      </c>
      <c r="G205" t="s">
        <v>14</v>
      </c>
      <c r="H205" t="s">
        <v>15</v>
      </c>
      <c r="I205" t="s">
        <v>39</v>
      </c>
      <c r="J205">
        <v>5</v>
      </c>
      <c r="K205">
        <v>68.52</v>
      </c>
      <c r="L205" s="3">
        <v>342.6</v>
      </c>
      <c r="M205" t="s">
        <v>35</v>
      </c>
    </row>
    <row r="206" spans="1:13" x14ac:dyDescent="0.25">
      <c r="A206" s="1">
        <v>44775</v>
      </c>
      <c r="B206" s="1" t="str">
        <f t="shared" si="6"/>
        <v>Tuesday</v>
      </c>
      <c r="C206" s="1" t="str">
        <f t="shared" si="7"/>
        <v>August</v>
      </c>
      <c r="D206" t="s">
        <v>41</v>
      </c>
      <c r="E206" t="s">
        <v>29</v>
      </c>
      <c r="F206" t="s">
        <v>42</v>
      </c>
      <c r="G206" t="s">
        <v>30</v>
      </c>
      <c r="H206" t="s">
        <v>32</v>
      </c>
      <c r="I206" t="s">
        <v>39</v>
      </c>
      <c r="J206">
        <v>1</v>
      </c>
      <c r="K206">
        <v>98.04</v>
      </c>
      <c r="L206" s="3">
        <v>98.04</v>
      </c>
      <c r="M206" t="s">
        <v>23</v>
      </c>
    </row>
    <row r="207" spans="1:13" x14ac:dyDescent="0.25">
      <c r="A207" s="1">
        <v>44742</v>
      </c>
      <c r="B207" s="1" t="str">
        <f t="shared" si="6"/>
        <v>Thursday</v>
      </c>
      <c r="C207" s="1" t="str">
        <f t="shared" si="7"/>
        <v>June</v>
      </c>
      <c r="D207" t="s">
        <v>11</v>
      </c>
      <c r="E207" t="s">
        <v>12</v>
      </c>
      <c r="F207" t="s">
        <v>13</v>
      </c>
      <c r="G207" t="s">
        <v>30</v>
      </c>
      <c r="H207" t="s">
        <v>32</v>
      </c>
      <c r="I207" t="s">
        <v>43</v>
      </c>
      <c r="J207">
        <v>5</v>
      </c>
      <c r="K207">
        <v>204.35</v>
      </c>
      <c r="L207" s="3">
        <v>1021.75</v>
      </c>
      <c r="M207" t="s">
        <v>36</v>
      </c>
    </row>
    <row r="208" spans="1:13" x14ac:dyDescent="0.25">
      <c r="A208" s="1">
        <v>44661</v>
      </c>
      <c r="B208" s="1" t="str">
        <f t="shared" si="6"/>
        <v>Sunday</v>
      </c>
      <c r="C208" s="1" t="str">
        <f t="shared" si="7"/>
        <v>April</v>
      </c>
      <c r="D208" t="s">
        <v>24</v>
      </c>
      <c r="E208" t="s">
        <v>19</v>
      </c>
      <c r="F208" t="s">
        <v>25</v>
      </c>
      <c r="G208" t="s">
        <v>26</v>
      </c>
      <c r="H208" t="s">
        <v>21</v>
      </c>
      <c r="I208" t="s">
        <v>27</v>
      </c>
      <c r="J208">
        <v>4</v>
      </c>
      <c r="K208">
        <v>283.7</v>
      </c>
      <c r="L208" s="3">
        <v>1134.8</v>
      </c>
      <c r="M208" t="s">
        <v>17</v>
      </c>
    </row>
    <row r="209" spans="1:13" x14ac:dyDescent="0.25">
      <c r="A209" s="1">
        <v>44745</v>
      </c>
      <c r="B209" s="1" t="str">
        <f t="shared" si="6"/>
        <v>Sunday</v>
      </c>
      <c r="C209" s="1" t="str">
        <f t="shared" si="7"/>
        <v>July</v>
      </c>
      <c r="D209" t="s">
        <v>37</v>
      </c>
      <c r="E209" t="s">
        <v>29</v>
      </c>
      <c r="F209" t="s">
        <v>38</v>
      </c>
      <c r="G209" t="s">
        <v>26</v>
      </c>
      <c r="H209" t="s">
        <v>15</v>
      </c>
      <c r="I209" t="s">
        <v>43</v>
      </c>
      <c r="J209">
        <v>4</v>
      </c>
      <c r="K209">
        <v>172.52</v>
      </c>
      <c r="L209" s="3">
        <v>690.08</v>
      </c>
      <c r="M209" t="s">
        <v>35</v>
      </c>
    </row>
    <row r="210" spans="1:13" x14ac:dyDescent="0.25">
      <c r="A210" s="1">
        <v>44618</v>
      </c>
      <c r="B210" s="1" t="str">
        <f t="shared" si="6"/>
        <v>Saturday</v>
      </c>
      <c r="C210" s="1" t="str">
        <f t="shared" si="7"/>
        <v>February</v>
      </c>
      <c r="D210" t="s">
        <v>31</v>
      </c>
      <c r="E210" t="s">
        <v>19</v>
      </c>
      <c r="F210" t="s">
        <v>25</v>
      </c>
      <c r="G210" t="s">
        <v>30</v>
      </c>
      <c r="H210" t="s">
        <v>15</v>
      </c>
      <c r="I210" t="s">
        <v>22</v>
      </c>
      <c r="J210">
        <v>3</v>
      </c>
      <c r="K210">
        <v>51.81</v>
      </c>
      <c r="L210" s="3">
        <v>155.43</v>
      </c>
      <c r="M210" t="s">
        <v>36</v>
      </c>
    </row>
    <row r="211" spans="1:13" x14ac:dyDescent="0.25">
      <c r="A211" s="1">
        <v>44680</v>
      </c>
      <c r="B211" s="1" t="str">
        <f t="shared" si="6"/>
        <v>Friday</v>
      </c>
      <c r="C211" s="1" t="str">
        <f t="shared" si="7"/>
        <v>April</v>
      </c>
      <c r="D211" t="s">
        <v>28</v>
      </c>
      <c r="E211" t="s">
        <v>29</v>
      </c>
      <c r="F211" t="s">
        <v>25</v>
      </c>
      <c r="G211" t="s">
        <v>30</v>
      </c>
      <c r="H211" t="s">
        <v>40</v>
      </c>
      <c r="I211" t="s">
        <v>16</v>
      </c>
      <c r="J211">
        <v>5</v>
      </c>
      <c r="K211">
        <v>71.28</v>
      </c>
      <c r="L211" s="3">
        <v>356.4</v>
      </c>
      <c r="M211" t="s">
        <v>23</v>
      </c>
    </row>
    <row r="212" spans="1:13" x14ac:dyDescent="0.25">
      <c r="A212" s="1">
        <v>44616</v>
      </c>
      <c r="B212" s="1" t="str">
        <f t="shared" si="6"/>
        <v>Thursday</v>
      </c>
      <c r="C212" s="1" t="str">
        <f t="shared" si="7"/>
        <v>February</v>
      </c>
      <c r="D212" t="s">
        <v>18</v>
      </c>
      <c r="E212" t="s">
        <v>19</v>
      </c>
      <c r="F212" t="s">
        <v>20</v>
      </c>
      <c r="G212" t="s">
        <v>14</v>
      </c>
      <c r="H212" t="s">
        <v>40</v>
      </c>
      <c r="I212" t="s">
        <v>39</v>
      </c>
      <c r="J212">
        <v>2</v>
      </c>
      <c r="K212">
        <v>248.44</v>
      </c>
      <c r="L212" s="3">
        <v>496.88</v>
      </c>
      <c r="M212" t="s">
        <v>23</v>
      </c>
    </row>
    <row r="213" spans="1:13" x14ac:dyDescent="0.25">
      <c r="A213" s="1">
        <v>44745</v>
      </c>
      <c r="B213" s="1" t="str">
        <f t="shared" si="6"/>
        <v>Sunday</v>
      </c>
      <c r="C213" s="1" t="str">
        <f t="shared" si="7"/>
        <v>July</v>
      </c>
      <c r="D213" t="s">
        <v>18</v>
      </c>
      <c r="E213" t="s">
        <v>19</v>
      </c>
      <c r="F213" t="s">
        <v>20</v>
      </c>
      <c r="G213" t="s">
        <v>26</v>
      </c>
      <c r="H213" t="s">
        <v>40</v>
      </c>
      <c r="I213" t="s">
        <v>43</v>
      </c>
      <c r="J213">
        <v>2</v>
      </c>
      <c r="K213">
        <v>107.04</v>
      </c>
      <c r="L213" s="3">
        <v>214.08</v>
      </c>
      <c r="M213" t="s">
        <v>17</v>
      </c>
    </row>
    <row r="214" spans="1:13" x14ac:dyDescent="0.25">
      <c r="A214" s="1">
        <v>44803</v>
      </c>
      <c r="B214" s="1" t="str">
        <f t="shared" si="6"/>
        <v>Tuesday</v>
      </c>
      <c r="C214" s="1" t="str">
        <f t="shared" si="7"/>
        <v>August</v>
      </c>
      <c r="D214" t="s">
        <v>48</v>
      </c>
      <c r="E214" t="s">
        <v>49</v>
      </c>
      <c r="F214" t="s">
        <v>50</v>
      </c>
      <c r="G214" t="s">
        <v>26</v>
      </c>
      <c r="H214" t="s">
        <v>40</v>
      </c>
      <c r="I214" t="s">
        <v>33</v>
      </c>
      <c r="J214">
        <v>1</v>
      </c>
      <c r="K214">
        <v>132.07</v>
      </c>
      <c r="L214" s="3">
        <v>132.07</v>
      </c>
      <c r="M214" t="s">
        <v>36</v>
      </c>
    </row>
    <row r="215" spans="1:13" x14ac:dyDescent="0.25">
      <c r="A215" s="1">
        <v>44751</v>
      </c>
      <c r="B215" s="1" t="str">
        <f t="shared" si="6"/>
        <v>Saturday</v>
      </c>
      <c r="C215" s="1" t="str">
        <f t="shared" si="7"/>
        <v>July</v>
      </c>
      <c r="D215" t="s">
        <v>24</v>
      </c>
      <c r="E215" t="s">
        <v>19</v>
      </c>
      <c r="F215" t="s">
        <v>25</v>
      </c>
      <c r="G215" t="s">
        <v>30</v>
      </c>
      <c r="H215" t="s">
        <v>32</v>
      </c>
      <c r="I215" t="s">
        <v>16</v>
      </c>
      <c r="J215">
        <v>3</v>
      </c>
      <c r="K215">
        <v>118.37</v>
      </c>
      <c r="L215" s="3">
        <v>355.11</v>
      </c>
      <c r="M215" t="s">
        <v>17</v>
      </c>
    </row>
    <row r="216" spans="1:13" x14ac:dyDescent="0.25">
      <c r="A216" s="1">
        <v>44669</v>
      </c>
      <c r="B216" s="1" t="str">
        <f t="shared" si="6"/>
        <v>Monday</v>
      </c>
      <c r="C216" s="1" t="str">
        <f t="shared" si="7"/>
        <v>April</v>
      </c>
      <c r="D216" t="s">
        <v>28</v>
      </c>
      <c r="E216" t="s">
        <v>29</v>
      </c>
      <c r="F216" t="s">
        <v>25</v>
      </c>
      <c r="G216" t="s">
        <v>26</v>
      </c>
      <c r="H216" t="s">
        <v>21</v>
      </c>
      <c r="I216" t="s">
        <v>27</v>
      </c>
      <c r="J216">
        <v>5</v>
      </c>
      <c r="K216">
        <v>243.74</v>
      </c>
      <c r="L216" s="3">
        <v>1218.7</v>
      </c>
      <c r="M216" t="s">
        <v>36</v>
      </c>
    </row>
    <row r="217" spans="1:13" x14ac:dyDescent="0.25">
      <c r="A217" s="1">
        <v>44577</v>
      </c>
      <c r="B217" s="1" t="str">
        <f t="shared" si="6"/>
        <v>Sunday</v>
      </c>
      <c r="C217" s="1" t="str">
        <f t="shared" si="7"/>
        <v>January</v>
      </c>
      <c r="D217" t="s">
        <v>24</v>
      </c>
      <c r="E217" t="s">
        <v>19</v>
      </c>
      <c r="F217" t="s">
        <v>25</v>
      </c>
      <c r="G217" t="s">
        <v>14</v>
      </c>
      <c r="H217" t="s">
        <v>15</v>
      </c>
      <c r="I217" t="s">
        <v>16</v>
      </c>
      <c r="J217">
        <v>5</v>
      </c>
      <c r="K217">
        <v>150.02000000000001</v>
      </c>
      <c r="L217" s="3">
        <v>750.1</v>
      </c>
      <c r="M217" t="s">
        <v>23</v>
      </c>
    </row>
    <row r="218" spans="1:13" x14ac:dyDescent="0.25">
      <c r="A218" s="1">
        <v>44653</v>
      </c>
      <c r="B218" s="1" t="str">
        <f t="shared" si="6"/>
        <v>Saturday</v>
      </c>
      <c r="C218" s="1" t="str">
        <f t="shared" si="7"/>
        <v>April</v>
      </c>
      <c r="D218" t="s">
        <v>28</v>
      </c>
      <c r="E218" t="s">
        <v>29</v>
      </c>
      <c r="F218" t="s">
        <v>25</v>
      </c>
      <c r="G218" t="s">
        <v>26</v>
      </c>
      <c r="H218" t="s">
        <v>21</v>
      </c>
      <c r="I218" t="s">
        <v>33</v>
      </c>
      <c r="J218">
        <v>3</v>
      </c>
      <c r="K218">
        <v>73.31</v>
      </c>
      <c r="L218" s="3">
        <v>219.93</v>
      </c>
      <c r="M218" t="s">
        <v>36</v>
      </c>
    </row>
    <row r="219" spans="1:13" x14ac:dyDescent="0.25">
      <c r="A219" s="1">
        <v>44798</v>
      </c>
      <c r="B219" s="1" t="str">
        <f t="shared" si="6"/>
        <v>Thursday</v>
      </c>
      <c r="C219" s="1" t="str">
        <f t="shared" si="7"/>
        <v>August</v>
      </c>
      <c r="D219" t="s">
        <v>48</v>
      </c>
      <c r="E219" t="s">
        <v>49</v>
      </c>
      <c r="F219" t="s">
        <v>50</v>
      </c>
      <c r="G219" t="s">
        <v>30</v>
      </c>
      <c r="H219" t="s">
        <v>32</v>
      </c>
      <c r="I219" t="s">
        <v>33</v>
      </c>
      <c r="J219">
        <v>2</v>
      </c>
      <c r="K219">
        <v>176.24</v>
      </c>
      <c r="L219" s="3">
        <v>352.48</v>
      </c>
      <c r="M219" t="s">
        <v>23</v>
      </c>
    </row>
    <row r="220" spans="1:13" x14ac:dyDescent="0.25">
      <c r="A220" s="1">
        <v>44708</v>
      </c>
      <c r="B220" s="1" t="str">
        <f t="shared" si="6"/>
        <v>Friday</v>
      </c>
      <c r="C220" s="1" t="str">
        <f t="shared" si="7"/>
        <v>May</v>
      </c>
      <c r="D220" t="s">
        <v>44</v>
      </c>
      <c r="E220" t="s">
        <v>19</v>
      </c>
      <c r="F220" t="s">
        <v>20</v>
      </c>
      <c r="G220" t="s">
        <v>26</v>
      </c>
      <c r="H220" t="s">
        <v>40</v>
      </c>
      <c r="I220" t="s">
        <v>34</v>
      </c>
      <c r="J220">
        <v>5</v>
      </c>
      <c r="K220">
        <v>135.5</v>
      </c>
      <c r="L220" s="3">
        <v>677.5</v>
      </c>
      <c r="M220" t="s">
        <v>35</v>
      </c>
    </row>
    <row r="221" spans="1:13" x14ac:dyDescent="0.25">
      <c r="A221" s="1">
        <v>44791</v>
      </c>
      <c r="B221" s="1" t="str">
        <f t="shared" si="6"/>
        <v>Thursday</v>
      </c>
      <c r="C221" s="1" t="str">
        <f t="shared" si="7"/>
        <v>August</v>
      </c>
      <c r="D221" t="s">
        <v>11</v>
      </c>
      <c r="E221" t="s">
        <v>12</v>
      </c>
      <c r="F221" t="s">
        <v>13</v>
      </c>
      <c r="G221" t="s">
        <v>30</v>
      </c>
      <c r="H221" t="s">
        <v>40</v>
      </c>
      <c r="I221" t="s">
        <v>39</v>
      </c>
      <c r="J221">
        <v>4</v>
      </c>
      <c r="K221">
        <v>250.12</v>
      </c>
      <c r="L221" s="3">
        <v>1000.48</v>
      </c>
      <c r="M221" t="s">
        <v>17</v>
      </c>
    </row>
    <row r="222" spans="1:13" x14ac:dyDescent="0.25">
      <c r="A222" s="1">
        <v>44745</v>
      </c>
      <c r="B222" s="1" t="str">
        <f t="shared" si="6"/>
        <v>Sunday</v>
      </c>
      <c r="C222" s="1" t="str">
        <f t="shared" si="7"/>
        <v>July</v>
      </c>
      <c r="D222" t="s">
        <v>18</v>
      </c>
      <c r="E222" t="s">
        <v>19</v>
      </c>
      <c r="F222" t="s">
        <v>20</v>
      </c>
      <c r="G222" t="s">
        <v>26</v>
      </c>
      <c r="H222" t="s">
        <v>32</v>
      </c>
      <c r="I222" t="s">
        <v>33</v>
      </c>
      <c r="J222">
        <v>4</v>
      </c>
      <c r="K222">
        <v>145.88999999999999</v>
      </c>
      <c r="L222" s="3">
        <v>583.55999999999995</v>
      </c>
      <c r="M222" t="s">
        <v>17</v>
      </c>
    </row>
    <row r="223" spans="1:13" x14ac:dyDescent="0.25">
      <c r="A223" s="1">
        <v>44688</v>
      </c>
      <c r="B223" s="1" t="str">
        <f t="shared" si="6"/>
        <v>Saturday</v>
      </c>
      <c r="C223" s="1" t="str">
        <f t="shared" si="7"/>
        <v>May</v>
      </c>
      <c r="D223" t="s">
        <v>28</v>
      </c>
      <c r="E223" t="s">
        <v>29</v>
      </c>
      <c r="F223" t="s">
        <v>25</v>
      </c>
      <c r="G223" t="s">
        <v>14</v>
      </c>
      <c r="H223" t="s">
        <v>32</v>
      </c>
      <c r="I223" t="s">
        <v>22</v>
      </c>
      <c r="J223">
        <v>4</v>
      </c>
      <c r="K223">
        <v>281.54000000000002</v>
      </c>
      <c r="L223" s="3">
        <v>1126.1600000000001</v>
      </c>
      <c r="M223" t="s">
        <v>36</v>
      </c>
    </row>
    <row r="224" spans="1:13" x14ac:dyDescent="0.25">
      <c r="A224" s="1">
        <v>44737</v>
      </c>
      <c r="B224" s="1" t="str">
        <f t="shared" si="6"/>
        <v>Saturday</v>
      </c>
      <c r="C224" s="1" t="str">
        <f t="shared" si="7"/>
        <v>June</v>
      </c>
      <c r="D224" t="s">
        <v>31</v>
      </c>
      <c r="E224" t="s">
        <v>19</v>
      </c>
      <c r="F224" t="s">
        <v>25</v>
      </c>
      <c r="G224" t="s">
        <v>14</v>
      </c>
      <c r="H224" t="s">
        <v>32</v>
      </c>
      <c r="I224" t="s">
        <v>33</v>
      </c>
      <c r="J224">
        <v>4</v>
      </c>
      <c r="K224">
        <v>121.42</v>
      </c>
      <c r="L224" s="3">
        <v>485.68</v>
      </c>
      <c r="M224" t="s">
        <v>17</v>
      </c>
    </row>
    <row r="225" spans="1:13" x14ac:dyDescent="0.25">
      <c r="A225" s="1">
        <v>44715</v>
      </c>
      <c r="B225" s="1" t="str">
        <f t="shared" si="6"/>
        <v>Friday</v>
      </c>
      <c r="C225" s="1" t="str">
        <f t="shared" si="7"/>
        <v>June</v>
      </c>
      <c r="D225" t="s">
        <v>31</v>
      </c>
      <c r="E225" t="s">
        <v>19</v>
      </c>
      <c r="F225" t="s">
        <v>25</v>
      </c>
      <c r="G225" t="s">
        <v>26</v>
      </c>
      <c r="H225" t="s">
        <v>21</v>
      </c>
      <c r="I225" t="s">
        <v>43</v>
      </c>
      <c r="J225">
        <v>4</v>
      </c>
      <c r="K225">
        <v>265.91000000000003</v>
      </c>
      <c r="L225" s="3">
        <v>1063.6400000000001</v>
      </c>
      <c r="M225" t="s">
        <v>35</v>
      </c>
    </row>
    <row r="226" spans="1:13" x14ac:dyDescent="0.25">
      <c r="A226" s="1">
        <v>44586</v>
      </c>
      <c r="B226" s="1" t="str">
        <f t="shared" si="6"/>
        <v>Tuesday</v>
      </c>
      <c r="C226" s="1" t="str">
        <f t="shared" si="7"/>
        <v>January</v>
      </c>
      <c r="D226" t="s">
        <v>11</v>
      </c>
      <c r="E226" t="s">
        <v>12</v>
      </c>
      <c r="F226" t="s">
        <v>13</v>
      </c>
      <c r="G226" t="s">
        <v>26</v>
      </c>
      <c r="H226" t="s">
        <v>15</v>
      </c>
      <c r="I226" t="s">
        <v>27</v>
      </c>
      <c r="J226">
        <v>1</v>
      </c>
      <c r="K226">
        <v>240.42</v>
      </c>
      <c r="L226" s="3">
        <v>240.42</v>
      </c>
      <c r="M226" t="s">
        <v>17</v>
      </c>
    </row>
    <row r="227" spans="1:13" x14ac:dyDescent="0.25">
      <c r="A227" s="1">
        <v>44569</v>
      </c>
      <c r="B227" s="1" t="str">
        <f t="shared" si="6"/>
        <v>Saturday</v>
      </c>
      <c r="C227" s="1" t="str">
        <f t="shared" si="7"/>
        <v>January</v>
      </c>
      <c r="D227" t="s">
        <v>44</v>
      </c>
      <c r="E227" t="s">
        <v>19</v>
      </c>
      <c r="F227" t="s">
        <v>20</v>
      </c>
      <c r="G227" t="s">
        <v>26</v>
      </c>
      <c r="H227" t="s">
        <v>40</v>
      </c>
      <c r="I227" t="s">
        <v>22</v>
      </c>
      <c r="J227">
        <v>5</v>
      </c>
      <c r="K227">
        <v>275.27</v>
      </c>
      <c r="L227" s="3">
        <v>1376.35</v>
      </c>
      <c r="M227" t="s">
        <v>17</v>
      </c>
    </row>
    <row r="228" spans="1:13" x14ac:dyDescent="0.25">
      <c r="A228" s="1">
        <v>44782</v>
      </c>
      <c r="B228" s="1" t="str">
        <f t="shared" si="6"/>
        <v>Tuesday</v>
      </c>
      <c r="C228" s="1" t="str">
        <f t="shared" si="7"/>
        <v>August</v>
      </c>
      <c r="D228" t="s">
        <v>41</v>
      </c>
      <c r="E228" t="s">
        <v>29</v>
      </c>
      <c r="F228" t="s">
        <v>42</v>
      </c>
      <c r="G228" t="s">
        <v>26</v>
      </c>
      <c r="H228" t="s">
        <v>21</v>
      </c>
      <c r="I228" t="s">
        <v>43</v>
      </c>
      <c r="J228">
        <v>3</v>
      </c>
      <c r="K228">
        <v>154.79</v>
      </c>
      <c r="L228" s="3">
        <v>464.37</v>
      </c>
      <c r="M228" t="s">
        <v>17</v>
      </c>
    </row>
    <row r="229" spans="1:13" x14ac:dyDescent="0.25">
      <c r="A229" s="1">
        <v>44786</v>
      </c>
      <c r="B229" s="1" t="str">
        <f t="shared" si="6"/>
        <v>Saturday</v>
      </c>
      <c r="C229" s="1" t="str">
        <f t="shared" si="7"/>
        <v>August</v>
      </c>
      <c r="D229" t="s">
        <v>41</v>
      </c>
      <c r="E229" t="s">
        <v>29</v>
      </c>
      <c r="F229" t="s">
        <v>42</v>
      </c>
      <c r="G229" t="s">
        <v>14</v>
      </c>
      <c r="H229" t="s">
        <v>40</v>
      </c>
      <c r="I229" t="s">
        <v>43</v>
      </c>
      <c r="J229">
        <v>5</v>
      </c>
      <c r="K229">
        <v>139</v>
      </c>
      <c r="L229" s="3">
        <v>695</v>
      </c>
      <c r="M229" t="s">
        <v>35</v>
      </c>
    </row>
    <row r="230" spans="1:13" x14ac:dyDescent="0.25">
      <c r="A230" s="1">
        <v>44733</v>
      </c>
      <c r="B230" s="1" t="str">
        <f t="shared" si="6"/>
        <v>Tuesday</v>
      </c>
      <c r="C230" s="1" t="str">
        <f t="shared" si="7"/>
        <v>June</v>
      </c>
      <c r="D230" t="s">
        <v>28</v>
      </c>
      <c r="E230" t="s">
        <v>29</v>
      </c>
      <c r="F230" t="s">
        <v>25</v>
      </c>
      <c r="G230" t="s">
        <v>14</v>
      </c>
      <c r="H230" t="s">
        <v>21</v>
      </c>
      <c r="I230" t="s">
        <v>33</v>
      </c>
      <c r="J230">
        <v>3</v>
      </c>
      <c r="K230">
        <v>79.27</v>
      </c>
      <c r="L230" s="3">
        <v>237.81</v>
      </c>
      <c r="M230" t="s">
        <v>17</v>
      </c>
    </row>
    <row r="231" spans="1:13" x14ac:dyDescent="0.25">
      <c r="A231" s="1">
        <v>44796</v>
      </c>
      <c r="B231" s="1" t="str">
        <f t="shared" si="6"/>
        <v>Tuesday</v>
      </c>
      <c r="C231" s="1" t="str">
        <f t="shared" si="7"/>
        <v>August</v>
      </c>
      <c r="D231" t="s">
        <v>37</v>
      </c>
      <c r="E231" t="s">
        <v>29</v>
      </c>
      <c r="F231" t="s">
        <v>38</v>
      </c>
      <c r="G231" t="s">
        <v>30</v>
      </c>
      <c r="H231" t="s">
        <v>32</v>
      </c>
      <c r="I231" t="s">
        <v>39</v>
      </c>
      <c r="J231">
        <v>2</v>
      </c>
      <c r="K231">
        <v>237.1</v>
      </c>
      <c r="L231" s="3">
        <v>474.2</v>
      </c>
      <c r="M231" t="s">
        <v>23</v>
      </c>
    </row>
    <row r="232" spans="1:13" x14ac:dyDescent="0.25">
      <c r="A232" s="1">
        <v>44590</v>
      </c>
      <c r="B232" s="1" t="str">
        <f t="shared" si="6"/>
        <v>Saturday</v>
      </c>
      <c r="C232" s="1" t="str">
        <f t="shared" si="7"/>
        <v>January</v>
      </c>
      <c r="D232" t="s">
        <v>37</v>
      </c>
      <c r="E232" t="s">
        <v>29</v>
      </c>
      <c r="F232" t="s">
        <v>38</v>
      </c>
      <c r="G232" t="s">
        <v>30</v>
      </c>
      <c r="H232" t="s">
        <v>32</v>
      </c>
      <c r="I232" t="s">
        <v>34</v>
      </c>
      <c r="J232">
        <v>4</v>
      </c>
      <c r="K232">
        <v>228.46</v>
      </c>
      <c r="L232" s="3">
        <v>913.84</v>
      </c>
      <c r="M232" t="s">
        <v>23</v>
      </c>
    </row>
    <row r="233" spans="1:13" x14ac:dyDescent="0.25">
      <c r="A233" s="1">
        <v>44724</v>
      </c>
      <c r="B233" s="1" t="str">
        <f t="shared" si="6"/>
        <v>Sunday</v>
      </c>
      <c r="C233" s="1" t="str">
        <f t="shared" si="7"/>
        <v>June</v>
      </c>
      <c r="D233" t="s">
        <v>41</v>
      </c>
      <c r="E233" t="s">
        <v>29</v>
      </c>
      <c r="F233" t="s">
        <v>42</v>
      </c>
      <c r="G233" t="s">
        <v>30</v>
      </c>
      <c r="H233" t="s">
        <v>40</v>
      </c>
      <c r="I233" t="s">
        <v>39</v>
      </c>
      <c r="J233">
        <v>4</v>
      </c>
      <c r="K233">
        <v>52.42</v>
      </c>
      <c r="L233" s="3">
        <v>209.68</v>
      </c>
      <c r="M233" t="s">
        <v>36</v>
      </c>
    </row>
    <row r="234" spans="1:13" x14ac:dyDescent="0.25">
      <c r="A234" s="1">
        <v>44799</v>
      </c>
      <c r="B234" s="1" t="str">
        <f t="shared" si="6"/>
        <v>Friday</v>
      </c>
      <c r="C234" s="1" t="str">
        <f t="shared" si="7"/>
        <v>August</v>
      </c>
      <c r="D234" t="s">
        <v>24</v>
      </c>
      <c r="E234" t="s">
        <v>19</v>
      </c>
      <c r="F234" t="s">
        <v>25</v>
      </c>
      <c r="G234" t="s">
        <v>30</v>
      </c>
      <c r="H234" t="s">
        <v>15</v>
      </c>
      <c r="I234" t="s">
        <v>16</v>
      </c>
      <c r="J234">
        <v>3</v>
      </c>
      <c r="K234">
        <v>270.52</v>
      </c>
      <c r="L234" s="3">
        <v>811.56</v>
      </c>
      <c r="M234" t="s">
        <v>35</v>
      </c>
    </row>
    <row r="235" spans="1:13" x14ac:dyDescent="0.25">
      <c r="A235" s="1">
        <v>44569</v>
      </c>
      <c r="B235" s="1" t="str">
        <f t="shared" si="6"/>
        <v>Saturday</v>
      </c>
      <c r="C235" s="1" t="str">
        <f t="shared" si="7"/>
        <v>January</v>
      </c>
      <c r="D235" t="s">
        <v>31</v>
      </c>
      <c r="E235" t="s">
        <v>19</v>
      </c>
      <c r="F235" t="s">
        <v>25</v>
      </c>
      <c r="G235" t="s">
        <v>14</v>
      </c>
      <c r="H235" t="s">
        <v>15</v>
      </c>
      <c r="I235" t="s">
        <v>34</v>
      </c>
      <c r="J235">
        <v>4</v>
      </c>
      <c r="K235">
        <v>119.36</v>
      </c>
      <c r="L235" s="3">
        <v>477.44</v>
      </c>
      <c r="M235" t="s">
        <v>23</v>
      </c>
    </row>
    <row r="236" spans="1:13" x14ac:dyDescent="0.25">
      <c r="A236" s="1">
        <v>44584</v>
      </c>
      <c r="B236" s="1" t="str">
        <f t="shared" si="6"/>
        <v>Sunday</v>
      </c>
      <c r="C236" s="1" t="str">
        <f t="shared" si="7"/>
        <v>January</v>
      </c>
      <c r="D236" t="s">
        <v>45</v>
      </c>
      <c r="E236" t="s">
        <v>46</v>
      </c>
      <c r="F236" t="s">
        <v>47</v>
      </c>
      <c r="G236" t="s">
        <v>26</v>
      </c>
      <c r="H236" t="s">
        <v>15</v>
      </c>
      <c r="I236" t="s">
        <v>34</v>
      </c>
      <c r="J236">
        <v>3</v>
      </c>
      <c r="K236">
        <v>125.26</v>
      </c>
      <c r="L236" s="3">
        <v>375.78</v>
      </c>
      <c r="M236" t="s">
        <v>36</v>
      </c>
    </row>
    <row r="237" spans="1:13" x14ac:dyDescent="0.25">
      <c r="A237" s="1">
        <v>44714</v>
      </c>
      <c r="B237" s="1" t="str">
        <f t="shared" si="6"/>
        <v>Thursday</v>
      </c>
      <c r="C237" s="1" t="str">
        <f t="shared" si="7"/>
        <v>June</v>
      </c>
      <c r="D237" t="s">
        <v>37</v>
      </c>
      <c r="E237" t="s">
        <v>29</v>
      </c>
      <c r="F237" t="s">
        <v>38</v>
      </c>
      <c r="G237" t="s">
        <v>26</v>
      </c>
      <c r="H237" t="s">
        <v>32</v>
      </c>
      <c r="I237" t="s">
        <v>39</v>
      </c>
      <c r="J237">
        <v>3</v>
      </c>
      <c r="K237">
        <v>296.55</v>
      </c>
      <c r="L237" s="3">
        <v>889.65</v>
      </c>
      <c r="M237" t="s">
        <v>17</v>
      </c>
    </row>
    <row r="238" spans="1:13" x14ac:dyDescent="0.25">
      <c r="A238" s="1">
        <v>44725</v>
      </c>
      <c r="B238" s="1" t="str">
        <f t="shared" si="6"/>
        <v>Monday</v>
      </c>
      <c r="C238" s="1" t="str">
        <f t="shared" si="7"/>
        <v>June</v>
      </c>
      <c r="D238" t="s">
        <v>48</v>
      </c>
      <c r="E238" t="s">
        <v>49</v>
      </c>
      <c r="F238" t="s">
        <v>50</v>
      </c>
      <c r="G238" t="s">
        <v>26</v>
      </c>
      <c r="H238" t="s">
        <v>32</v>
      </c>
      <c r="I238" t="s">
        <v>34</v>
      </c>
      <c r="J238">
        <v>1</v>
      </c>
      <c r="K238">
        <v>56.73</v>
      </c>
      <c r="L238" s="3">
        <v>56.73</v>
      </c>
      <c r="M238" t="s">
        <v>36</v>
      </c>
    </row>
    <row r="239" spans="1:13" x14ac:dyDescent="0.25">
      <c r="A239" s="1">
        <v>44579</v>
      </c>
      <c r="B239" s="1" t="str">
        <f t="shared" si="6"/>
        <v>Tuesday</v>
      </c>
      <c r="C239" s="1" t="str">
        <f t="shared" si="7"/>
        <v>January</v>
      </c>
      <c r="D239" t="s">
        <v>41</v>
      </c>
      <c r="E239" t="s">
        <v>29</v>
      </c>
      <c r="F239" t="s">
        <v>42</v>
      </c>
      <c r="G239" t="s">
        <v>14</v>
      </c>
      <c r="H239" t="s">
        <v>32</v>
      </c>
      <c r="I239" t="s">
        <v>34</v>
      </c>
      <c r="J239">
        <v>1</v>
      </c>
      <c r="K239">
        <v>91.56</v>
      </c>
      <c r="L239" s="3">
        <v>91.56</v>
      </c>
      <c r="M239" t="s">
        <v>35</v>
      </c>
    </row>
    <row r="240" spans="1:13" x14ac:dyDescent="0.25">
      <c r="A240" s="1">
        <v>44662</v>
      </c>
      <c r="B240" s="1" t="str">
        <f t="shared" si="6"/>
        <v>Monday</v>
      </c>
      <c r="C240" s="1" t="str">
        <f t="shared" si="7"/>
        <v>April</v>
      </c>
      <c r="D240" t="s">
        <v>45</v>
      </c>
      <c r="E240" t="s">
        <v>46</v>
      </c>
      <c r="F240" t="s">
        <v>47</v>
      </c>
      <c r="G240" t="s">
        <v>26</v>
      </c>
      <c r="H240" t="s">
        <v>21</v>
      </c>
      <c r="I240" t="s">
        <v>22</v>
      </c>
      <c r="J240">
        <v>2</v>
      </c>
      <c r="K240">
        <v>152.54</v>
      </c>
      <c r="L240" s="3">
        <v>305.08</v>
      </c>
      <c r="M240" t="s">
        <v>17</v>
      </c>
    </row>
    <row r="241" spans="1:13" x14ac:dyDescent="0.25">
      <c r="A241" s="1">
        <v>44746</v>
      </c>
      <c r="B241" s="1" t="str">
        <f t="shared" si="6"/>
        <v>Monday</v>
      </c>
      <c r="C241" s="1" t="str">
        <f t="shared" si="7"/>
        <v>July</v>
      </c>
      <c r="D241" t="s">
        <v>45</v>
      </c>
      <c r="E241" t="s">
        <v>46</v>
      </c>
      <c r="F241" t="s">
        <v>47</v>
      </c>
      <c r="G241" t="s">
        <v>26</v>
      </c>
      <c r="H241" t="s">
        <v>32</v>
      </c>
      <c r="I241" t="s">
        <v>33</v>
      </c>
      <c r="J241">
        <v>4</v>
      </c>
      <c r="K241">
        <v>61.37</v>
      </c>
      <c r="L241" s="3">
        <v>245.48</v>
      </c>
      <c r="M241" t="s">
        <v>23</v>
      </c>
    </row>
    <row r="242" spans="1:13" x14ac:dyDescent="0.25">
      <c r="A242" s="1">
        <v>44627</v>
      </c>
      <c r="B242" s="1" t="str">
        <f t="shared" si="6"/>
        <v>Monday</v>
      </c>
      <c r="C242" s="1" t="str">
        <f t="shared" si="7"/>
        <v>March</v>
      </c>
      <c r="D242" t="s">
        <v>37</v>
      </c>
      <c r="E242" t="s">
        <v>29</v>
      </c>
      <c r="F242" t="s">
        <v>38</v>
      </c>
      <c r="G242" t="s">
        <v>30</v>
      </c>
      <c r="H242" t="s">
        <v>21</v>
      </c>
      <c r="I242" t="s">
        <v>16</v>
      </c>
      <c r="J242">
        <v>3</v>
      </c>
      <c r="K242">
        <v>162.36000000000001</v>
      </c>
      <c r="L242" s="3">
        <v>487.08</v>
      </c>
      <c r="M242" t="s">
        <v>36</v>
      </c>
    </row>
    <row r="243" spans="1:13" x14ac:dyDescent="0.25">
      <c r="A243" s="1">
        <v>44741</v>
      </c>
      <c r="B243" s="1" t="str">
        <f t="shared" si="6"/>
        <v>Wednesday</v>
      </c>
      <c r="C243" s="1" t="str">
        <f t="shared" si="7"/>
        <v>June</v>
      </c>
      <c r="D243" t="s">
        <v>41</v>
      </c>
      <c r="E243" t="s">
        <v>29</v>
      </c>
      <c r="F243" t="s">
        <v>42</v>
      </c>
      <c r="G243" t="s">
        <v>30</v>
      </c>
      <c r="H243" t="s">
        <v>21</v>
      </c>
      <c r="I243" t="s">
        <v>22</v>
      </c>
      <c r="J243">
        <v>2</v>
      </c>
      <c r="K243">
        <v>257.5</v>
      </c>
      <c r="L243" s="3">
        <v>515</v>
      </c>
      <c r="M243" t="s">
        <v>35</v>
      </c>
    </row>
    <row r="244" spans="1:13" x14ac:dyDescent="0.25">
      <c r="A244" s="1">
        <v>44702</v>
      </c>
      <c r="B244" s="1" t="str">
        <f t="shared" si="6"/>
        <v>Saturday</v>
      </c>
      <c r="C244" s="1" t="str">
        <f t="shared" si="7"/>
        <v>May</v>
      </c>
      <c r="D244" t="s">
        <v>24</v>
      </c>
      <c r="E244" t="s">
        <v>19</v>
      </c>
      <c r="F244" t="s">
        <v>25</v>
      </c>
      <c r="G244" t="s">
        <v>26</v>
      </c>
      <c r="H244" t="s">
        <v>32</v>
      </c>
      <c r="I244" t="s">
        <v>27</v>
      </c>
      <c r="J244">
        <v>4</v>
      </c>
      <c r="K244">
        <v>202.28</v>
      </c>
      <c r="L244" s="3">
        <v>809.12</v>
      </c>
      <c r="M244" t="s">
        <v>17</v>
      </c>
    </row>
    <row r="245" spans="1:13" x14ac:dyDescent="0.25">
      <c r="A245" s="1">
        <v>44749</v>
      </c>
      <c r="B245" s="1" t="str">
        <f t="shared" si="6"/>
        <v>Thursday</v>
      </c>
      <c r="C245" s="1" t="str">
        <f t="shared" si="7"/>
        <v>July</v>
      </c>
      <c r="D245" t="s">
        <v>45</v>
      </c>
      <c r="E245" t="s">
        <v>46</v>
      </c>
      <c r="F245" t="s">
        <v>47</v>
      </c>
      <c r="G245" t="s">
        <v>14</v>
      </c>
      <c r="H245" t="s">
        <v>32</v>
      </c>
      <c r="I245" t="s">
        <v>43</v>
      </c>
      <c r="J245">
        <v>1</v>
      </c>
      <c r="K245">
        <v>224.83</v>
      </c>
      <c r="L245" s="3">
        <v>224.83</v>
      </c>
      <c r="M245" t="s">
        <v>23</v>
      </c>
    </row>
    <row r="246" spans="1:13" x14ac:dyDescent="0.25">
      <c r="A246" s="1">
        <v>44653</v>
      </c>
      <c r="B246" s="1" t="str">
        <f t="shared" si="6"/>
        <v>Saturday</v>
      </c>
      <c r="C246" s="1" t="str">
        <f t="shared" si="7"/>
        <v>April</v>
      </c>
      <c r="D246" t="s">
        <v>48</v>
      </c>
      <c r="E246" t="s">
        <v>49</v>
      </c>
      <c r="F246" t="s">
        <v>50</v>
      </c>
      <c r="G246" t="s">
        <v>30</v>
      </c>
      <c r="H246" t="s">
        <v>21</v>
      </c>
      <c r="I246" t="s">
        <v>39</v>
      </c>
      <c r="J246">
        <v>3</v>
      </c>
      <c r="K246">
        <v>256.27</v>
      </c>
      <c r="L246" s="3">
        <v>768.81</v>
      </c>
      <c r="M246" t="s">
        <v>23</v>
      </c>
    </row>
    <row r="247" spans="1:13" x14ac:dyDescent="0.25">
      <c r="A247" s="1">
        <v>44646</v>
      </c>
      <c r="B247" s="1" t="str">
        <f t="shared" si="6"/>
        <v>Saturday</v>
      </c>
      <c r="C247" s="1" t="str">
        <f t="shared" si="7"/>
        <v>March</v>
      </c>
      <c r="D247" t="s">
        <v>18</v>
      </c>
      <c r="E247" t="s">
        <v>19</v>
      </c>
      <c r="F247" t="s">
        <v>20</v>
      </c>
      <c r="G247" t="s">
        <v>26</v>
      </c>
      <c r="H247" t="s">
        <v>15</v>
      </c>
      <c r="I247" t="s">
        <v>34</v>
      </c>
      <c r="J247">
        <v>2</v>
      </c>
      <c r="K247">
        <v>277.26</v>
      </c>
      <c r="L247" s="3">
        <v>554.52</v>
      </c>
      <c r="M247" t="s">
        <v>35</v>
      </c>
    </row>
    <row r="248" spans="1:13" x14ac:dyDescent="0.25">
      <c r="A248" s="1">
        <v>44746</v>
      </c>
      <c r="B248" s="1" t="str">
        <f t="shared" si="6"/>
        <v>Monday</v>
      </c>
      <c r="C248" s="1" t="str">
        <f t="shared" si="7"/>
        <v>July</v>
      </c>
      <c r="D248" t="s">
        <v>48</v>
      </c>
      <c r="E248" t="s">
        <v>49</v>
      </c>
      <c r="F248" t="s">
        <v>50</v>
      </c>
      <c r="G248" t="s">
        <v>14</v>
      </c>
      <c r="H248" t="s">
        <v>21</v>
      </c>
      <c r="I248" t="s">
        <v>39</v>
      </c>
      <c r="J248">
        <v>3</v>
      </c>
      <c r="K248">
        <v>271.19</v>
      </c>
      <c r="L248" s="3">
        <v>813.57</v>
      </c>
      <c r="M248" t="s">
        <v>23</v>
      </c>
    </row>
    <row r="249" spans="1:13" x14ac:dyDescent="0.25">
      <c r="A249" s="1">
        <v>44573</v>
      </c>
      <c r="B249" s="1" t="str">
        <f t="shared" si="6"/>
        <v>Wednesday</v>
      </c>
      <c r="C249" s="1" t="str">
        <f t="shared" si="7"/>
        <v>January</v>
      </c>
      <c r="D249" t="s">
        <v>37</v>
      </c>
      <c r="E249" t="s">
        <v>29</v>
      </c>
      <c r="F249" t="s">
        <v>38</v>
      </c>
      <c r="G249" t="s">
        <v>30</v>
      </c>
      <c r="H249" t="s">
        <v>21</v>
      </c>
      <c r="I249" t="s">
        <v>39</v>
      </c>
      <c r="J249">
        <v>3</v>
      </c>
      <c r="K249">
        <v>205.62</v>
      </c>
      <c r="L249" s="3">
        <v>616.86</v>
      </c>
      <c r="M249" t="s">
        <v>36</v>
      </c>
    </row>
    <row r="250" spans="1:13" x14ac:dyDescent="0.25">
      <c r="A250" s="1">
        <v>44774</v>
      </c>
      <c r="B250" s="1" t="str">
        <f t="shared" si="6"/>
        <v>Monday</v>
      </c>
      <c r="C250" s="1" t="str">
        <f t="shared" si="7"/>
        <v>August</v>
      </c>
      <c r="D250" t="s">
        <v>31</v>
      </c>
      <c r="E250" t="s">
        <v>19</v>
      </c>
      <c r="F250" t="s">
        <v>25</v>
      </c>
      <c r="G250" t="s">
        <v>30</v>
      </c>
      <c r="H250" t="s">
        <v>21</v>
      </c>
      <c r="I250" t="s">
        <v>22</v>
      </c>
      <c r="J250">
        <v>4</v>
      </c>
      <c r="K250">
        <v>130.97</v>
      </c>
      <c r="L250" s="3">
        <v>523.88</v>
      </c>
      <c r="M250" t="s">
        <v>17</v>
      </c>
    </row>
    <row r="251" spans="1:13" x14ac:dyDescent="0.25">
      <c r="A251" s="1">
        <v>44646</v>
      </c>
      <c r="B251" s="1" t="str">
        <f t="shared" si="6"/>
        <v>Saturday</v>
      </c>
      <c r="C251" s="1" t="str">
        <f t="shared" si="7"/>
        <v>March</v>
      </c>
      <c r="D251" t="s">
        <v>11</v>
      </c>
      <c r="E251" t="s">
        <v>12</v>
      </c>
      <c r="F251" t="s">
        <v>13</v>
      </c>
      <c r="G251" t="s">
        <v>30</v>
      </c>
      <c r="H251" t="s">
        <v>21</v>
      </c>
      <c r="I251" t="s">
        <v>39</v>
      </c>
      <c r="J251">
        <v>5</v>
      </c>
      <c r="K251">
        <v>267.70999999999998</v>
      </c>
      <c r="L251" s="3">
        <v>1338.55</v>
      </c>
      <c r="M251" t="s">
        <v>23</v>
      </c>
    </row>
    <row r="252" spans="1:13" x14ac:dyDescent="0.25">
      <c r="A252" s="1">
        <v>44565</v>
      </c>
      <c r="B252" s="1" t="str">
        <f t="shared" si="6"/>
        <v>Tuesday</v>
      </c>
      <c r="C252" s="1" t="str">
        <f t="shared" si="7"/>
        <v>January</v>
      </c>
      <c r="D252" t="s">
        <v>24</v>
      </c>
      <c r="E252" t="s">
        <v>19</v>
      </c>
      <c r="F252" t="s">
        <v>25</v>
      </c>
      <c r="G252" t="s">
        <v>30</v>
      </c>
      <c r="H252" t="s">
        <v>40</v>
      </c>
      <c r="I252" t="s">
        <v>22</v>
      </c>
      <c r="J252">
        <v>4</v>
      </c>
      <c r="K252">
        <v>151.37</v>
      </c>
      <c r="L252" s="3">
        <v>605.48</v>
      </c>
      <c r="M252" t="s">
        <v>35</v>
      </c>
    </row>
    <row r="253" spans="1:13" x14ac:dyDescent="0.25">
      <c r="A253" s="1">
        <v>44627</v>
      </c>
      <c r="B253" s="1" t="str">
        <f t="shared" si="6"/>
        <v>Monday</v>
      </c>
      <c r="C253" s="1" t="str">
        <f t="shared" si="7"/>
        <v>March</v>
      </c>
      <c r="D253" t="s">
        <v>37</v>
      </c>
      <c r="E253" t="s">
        <v>29</v>
      </c>
      <c r="F253" t="s">
        <v>38</v>
      </c>
      <c r="G253" t="s">
        <v>30</v>
      </c>
      <c r="H253" t="s">
        <v>40</v>
      </c>
      <c r="I253" t="s">
        <v>39</v>
      </c>
      <c r="J253">
        <v>5</v>
      </c>
      <c r="K253">
        <v>89.84</v>
      </c>
      <c r="L253" s="3">
        <v>449.2</v>
      </c>
      <c r="M253" t="s">
        <v>36</v>
      </c>
    </row>
    <row r="254" spans="1:13" x14ac:dyDescent="0.25">
      <c r="A254" s="1">
        <v>44676</v>
      </c>
      <c r="B254" s="1" t="str">
        <f t="shared" si="6"/>
        <v>Monday</v>
      </c>
      <c r="C254" s="1" t="str">
        <f t="shared" si="7"/>
        <v>April</v>
      </c>
      <c r="D254" t="s">
        <v>48</v>
      </c>
      <c r="E254" t="s">
        <v>49</v>
      </c>
      <c r="F254" t="s">
        <v>50</v>
      </c>
      <c r="G254" t="s">
        <v>30</v>
      </c>
      <c r="H254" t="s">
        <v>21</v>
      </c>
      <c r="I254" t="s">
        <v>39</v>
      </c>
      <c r="J254">
        <v>1</v>
      </c>
      <c r="K254">
        <v>276.64</v>
      </c>
      <c r="L254" s="3">
        <v>276.64</v>
      </c>
      <c r="M254" t="s">
        <v>17</v>
      </c>
    </row>
    <row r="255" spans="1:13" x14ac:dyDescent="0.25">
      <c r="A255" s="1">
        <v>44635</v>
      </c>
      <c r="B255" s="1" t="str">
        <f t="shared" si="6"/>
        <v>Tuesday</v>
      </c>
      <c r="C255" s="1" t="str">
        <f t="shared" si="7"/>
        <v>March</v>
      </c>
      <c r="D255" t="s">
        <v>48</v>
      </c>
      <c r="E255" t="s">
        <v>49</v>
      </c>
      <c r="F255" t="s">
        <v>50</v>
      </c>
      <c r="G255" t="s">
        <v>14</v>
      </c>
      <c r="H255" t="s">
        <v>15</v>
      </c>
      <c r="I255" t="s">
        <v>43</v>
      </c>
      <c r="J255">
        <v>3</v>
      </c>
      <c r="K255">
        <v>203.41</v>
      </c>
      <c r="L255" s="3">
        <v>610.23</v>
      </c>
      <c r="M255" t="s">
        <v>17</v>
      </c>
    </row>
    <row r="256" spans="1:13" x14ac:dyDescent="0.25">
      <c r="A256" s="1">
        <v>44783</v>
      </c>
      <c r="B256" s="1" t="str">
        <f t="shared" si="6"/>
        <v>Wednesday</v>
      </c>
      <c r="C256" s="1" t="str">
        <f t="shared" si="7"/>
        <v>August</v>
      </c>
      <c r="D256" t="s">
        <v>28</v>
      </c>
      <c r="E256" t="s">
        <v>29</v>
      </c>
      <c r="F256" t="s">
        <v>25</v>
      </c>
      <c r="G256" t="s">
        <v>30</v>
      </c>
      <c r="H256" t="s">
        <v>15</v>
      </c>
      <c r="I256" t="s">
        <v>34</v>
      </c>
      <c r="J256">
        <v>2</v>
      </c>
      <c r="K256">
        <v>195.85</v>
      </c>
      <c r="L256" s="3">
        <v>391.7</v>
      </c>
      <c r="M256" t="s">
        <v>36</v>
      </c>
    </row>
    <row r="257" spans="1:13" x14ac:dyDescent="0.25">
      <c r="A257" s="1">
        <v>44777</v>
      </c>
      <c r="B257" s="1" t="str">
        <f t="shared" si="6"/>
        <v>Thursday</v>
      </c>
      <c r="C257" s="1" t="str">
        <f t="shared" si="7"/>
        <v>August</v>
      </c>
      <c r="D257" t="s">
        <v>48</v>
      </c>
      <c r="E257" t="s">
        <v>49</v>
      </c>
      <c r="F257" t="s">
        <v>50</v>
      </c>
      <c r="G257" t="s">
        <v>30</v>
      </c>
      <c r="H257" t="s">
        <v>40</v>
      </c>
      <c r="I257" t="s">
        <v>33</v>
      </c>
      <c r="J257">
        <v>2</v>
      </c>
      <c r="K257">
        <v>288.87</v>
      </c>
      <c r="L257" s="3">
        <v>577.74</v>
      </c>
      <c r="M257" t="s">
        <v>35</v>
      </c>
    </row>
    <row r="258" spans="1:13" x14ac:dyDescent="0.25">
      <c r="A258" s="1">
        <v>44692</v>
      </c>
      <c r="B258" s="1" t="str">
        <f t="shared" ref="B258:B321" si="8">TEXT(A258,"DDDD")</f>
        <v>Wednesday</v>
      </c>
      <c r="C258" s="1" t="str">
        <f t="shared" ref="C258:C321" si="9">TEXT(A258,"MMMM")</f>
        <v>May</v>
      </c>
      <c r="D258" t="s">
        <v>28</v>
      </c>
      <c r="E258" t="s">
        <v>29</v>
      </c>
      <c r="F258" t="s">
        <v>25</v>
      </c>
      <c r="G258" t="s">
        <v>30</v>
      </c>
      <c r="H258" t="s">
        <v>40</v>
      </c>
      <c r="I258" t="s">
        <v>33</v>
      </c>
      <c r="J258">
        <v>1</v>
      </c>
      <c r="K258">
        <v>65.45</v>
      </c>
      <c r="L258" s="3">
        <v>65.45</v>
      </c>
      <c r="M258" t="s">
        <v>23</v>
      </c>
    </row>
    <row r="259" spans="1:13" x14ac:dyDescent="0.25">
      <c r="A259" s="1">
        <v>44562</v>
      </c>
      <c r="B259" s="1" t="str">
        <f t="shared" si="8"/>
        <v>Saturday</v>
      </c>
      <c r="C259" s="1" t="str">
        <f t="shared" si="9"/>
        <v>January</v>
      </c>
      <c r="D259" t="s">
        <v>18</v>
      </c>
      <c r="E259" t="s">
        <v>19</v>
      </c>
      <c r="F259" t="s">
        <v>20</v>
      </c>
      <c r="G259" t="s">
        <v>14</v>
      </c>
      <c r="H259" t="s">
        <v>32</v>
      </c>
      <c r="I259" t="s">
        <v>22</v>
      </c>
      <c r="J259">
        <v>1</v>
      </c>
      <c r="K259">
        <v>202.42</v>
      </c>
      <c r="L259" s="3">
        <v>202.42</v>
      </c>
      <c r="M259" t="s">
        <v>36</v>
      </c>
    </row>
    <row r="260" spans="1:13" x14ac:dyDescent="0.25">
      <c r="A260" s="1">
        <v>44625</v>
      </c>
      <c r="B260" s="1" t="str">
        <f t="shared" si="8"/>
        <v>Saturday</v>
      </c>
      <c r="C260" s="1" t="str">
        <f t="shared" si="9"/>
        <v>March</v>
      </c>
      <c r="D260" t="s">
        <v>28</v>
      </c>
      <c r="E260" t="s">
        <v>29</v>
      </c>
      <c r="F260" t="s">
        <v>25</v>
      </c>
      <c r="G260" t="s">
        <v>30</v>
      </c>
      <c r="H260" t="s">
        <v>21</v>
      </c>
      <c r="I260" t="s">
        <v>33</v>
      </c>
      <c r="J260">
        <v>2</v>
      </c>
      <c r="K260">
        <v>51.11</v>
      </c>
      <c r="L260" s="3">
        <v>102.22</v>
      </c>
      <c r="M260" t="s">
        <v>23</v>
      </c>
    </row>
    <row r="261" spans="1:13" x14ac:dyDescent="0.25">
      <c r="A261" s="1">
        <v>44766</v>
      </c>
      <c r="B261" s="1" t="str">
        <f t="shared" si="8"/>
        <v>Sunday</v>
      </c>
      <c r="C261" s="1" t="str">
        <f t="shared" si="9"/>
        <v>July</v>
      </c>
      <c r="D261" t="s">
        <v>45</v>
      </c>
      <c r="E261" t="s">
        <v>46</v>
      </c>
      <c r="F261" t="s">
        <v>47</v>
      </c>
      <c r="G261" t="s">
        <v>30</v>
      </c>
      <c r="H261" t="s">
        <v>15</v>
      </c>
      <c r="I261" t="s">
        <v>16</v>
      </c>
      <c r="J261">
        <v>1</v>
      </c>
      <c r="K261">
        <v>292.68</v>
      </c>
      <c r="L261" s="3">
        <v>292.68</v>
      </c>
      <c r="M261" t="s">
        <v>35</v>
      </c>
    </row>
    <row r="262" spans="1:13" x14ac:dyDescent="0.25">
      <c r="A262" s="1">
        <v>44783</v>
      </c>
      <c r="B262" s="1" t="str">
        <f t="shared" si="8"/>
        <v>Wednesday</v>
      </c>
      <c r="C262" s="1" t="str">
        <f t="shared" si="9"/>
        <v>August</v>
      </c>
      <c r="D262" t="s">
        <v>48</v>
      </c>
      <c r="E262" t="s">
        <v>49</v>
      </c>
      <c r="F262" t="s">
        <v>50</v>
      </c>
      <c r="G262" t="s">
        <v>26</v>
      </c>
      <c r="H262" t="s">
        <v>32</v>
      </c>
      <c r="I262" t="s">
        <v>22</v>
      </c>
      <c r="J262">
        <v>2</v>
      </c>
      <c r="K262">
        <v>175.51</v>
      </c>
      <c r="L262" s="3">
        <v>351.02</v>
      </c>
      <c r="M262" t="s">
        <v>35</v>
      </c>
    </row>
    <row r="263" spans="1:13" x14ac:dyDescent="0.25">
      <c r="A263" s="1">
        <v>44633</v>
      </c>
      <c r="B263" s="1" t="str">
        <f t="shared" si="8"/>
        <v>Sunday</v>
      </c>
      <c r="C263" s="1" t="str">
        <f t="shared" si="9"/>
        <v>March</v>
      </c>
      <c r="D263" t="s">
        <v>18</v>
      </c>
      <c r="E263" t="s">
        <v>19</v>
      </c>
      <c r="F263" t="s">
        <v>20</v>
      </c>
      <c r="G263" t="s">
        <v>26</v>
      </c>
      <c r="H263" t="s">
        <v>40</v>
      </c>
      <c r="I263" t="s">
        <v>27</v>
      </c>
      <c r="J263">
        <v>4</v>
      </c>
      <c r="K263">
        <v>211.37</v>
      </c>
      <c r="L263" s="3">
        <v>845.48</v>
      </c>
      <c r="M263" t="s">
        <v>17</v>
      </c>
    </row>
    <row r="264" spans="1:13" x14ac:dyDescent="0.25">
      <c r="A264" s="1">
        <v>44643</v>
      </c>
      <c r="B264" s="1" t="str">
        <f t="shared" si="8"/>
        <v>Wednesday</v>
      </c>
      <c r="C264" s="1" t="str">
        <f t="shared" si="9"/>
        <v>March</v>
      </c>
      <c r="D264" t="s">
        <v>28</v>
      </c>
      <c r="E264" t="s">
        <v>29</v>
      </c>
      <c r="F264" t="s">
        <v>25</v>
      </c>
      <c r="G264" t="s">
        <v>14</v>
      </c>
      <c r="H264" t="s">
        <v>32</v>
      </c>
      <c r="I264" t="s">
        <v>27</v>
      </c>
      <c r="J264">
        <v>1</v>
      </c>
      <c r="K264">
        <v>209.78</v>
      </c>
      <c r="L264" s="3">
        <v>209.78</v>
      </c>
      <c r="M264" t="s">
        <v>35</v>
      </c>
    </row>
    <row r="265" spans="1:13" x14ac:dyDescent="0.25">
      <c r="A265" s="1">
        <v>44693</v>
      </c>
      <c r="B265" s="1" t="str">
        <f t="shared" si="8"/>
        <v>Thursday</v>
      </c>
      <c r="C265" s="1" t="str">
        <f t="shared" si="9"/>
        <v>May</v>
      </c>
      <c r="D265" t="s">
        <v>24</v>
      </c>
      <c r="E265" t="s">
        <v>19</v>
      </c>
      <c r="F265" t="s">
        <v>25</v>
      </c>
      <c r="G265" t="s">
        <v>14</v>
      </c>
      <c r="H265" t="s">
        <v>32</v>
      </c>
      <c r="I265" t="s">
        <v>43</v>
      </c>
      <c r="J265">
        <v>1</v>
      </c>
      <c r="K265">
        <v>59.85</v>
      </c>
      <c r="L265" s="3">
        <v>59.85</v>
      </c>
      <c r="M265" t="s">
        <v>36</v>
      </c>
    </row>
    <row r="266" spans="1:13" x14ac:dyDescent="0.25">
      <c r="A266" s="1">
        <v>44759</v>
      </c>
      <c r="B266" s="1" t="str">
        <f t="shared" si="8"/>
        <v>Sunday</v>
      </c>
      <c r="C266" s="1" t="str">
        <f t="shared" si="9"/>
        <v>July</v>
      </c>
      <c r="D266" t="s">
        <v>24</v>
      </c>
      <c r="E266" t="s">
        <v>19</v>
      </c>
      <c r="F266" t="s">
        <v>25</v>
      </c>
      <c r="G266" t="s">
        <v>14</v>
      </c>
      <c r="H266" t="s">
        <v>21</v>
      </c>
      <c r="I266" t="s">
        <v>39</v>
      </c>
      <c r="J266">
        <v>3</v>
      </c>
      <c r="K266">
        <v>156.27000000000001</v>
      </c>
      <c r="L266" s="3">
        <v>468.81</v>
      </c>
      <c r="M266" t="s">
        <v>35</v>
      </c>
    </row>
    <row r="267" spans="1:13" x14ac:dyDescent="0.25">
      <c r="A267" s="1">
        <v>44628</v>
      </c>
      <c r="B267" s="1" t="str">
        <f t="shared" si="8"/>
        <v>Tuesday</v>
      </c>
      <c r="C267" s="1" t="str">
        <f t="shared" si="9"/>
        <v>March</v>
      </c>
      <c r="D267" t="s">
        <v>18</v>
      </c>
      <c r="E267" t="s">
        <v>19</v>
      </c>
      <c r="F267" t="s">
        <v>20</v>
      </c>
      <c r="G267" t="s">
        <v>14</v>
      </c>
      <c r="H267" t="s">
        <v>15</v>
      </c>
      <c r="I267" t="s">
        <v>33</v>
      </c>
      <c r="J267">
        <v>2</v>
      </c>
      <c r="K267">
        <v>175</v>
      </c>
      <c r="L267" s="3">
        <v>350</v>
      </c>
      <c r="M267" t="s">
        <v>17</v>
      </c>
    </row>
    <row r="268" spans="1:13" x14ac:dyDescent="0.25">
      <c r="A268" s="1">
        <v>44778</v>
      </c>
      <c r="B268" s="1" t="str">
        <f t="shared" si="8"/>
        <v>Friday</v>
      </c>
      <c r="C268" s="1" t="str">
        <f t="shared" si="9"/>
        <v>August</v>
      </c>
      <c r="D268" t="s">
        <v>37</v>
      </c>
      <c r="E268" t="s">
        <v>29</v>
      </c>
      <c r="F268" t="s">
        <v>38</v>
      </c>
      <c r="G268" t="s">
        <v>30</v>
      </c>
      <c r="H268" t="s">
        <v>32</v>
      </c>
      <c r="I268" t="s">
        <v>34</v>
      </c>
      <c r="J268">
        <v>2</v>
      </c>
      <c r="K268">
        <v>88</v>
      </c>
      <c r="L268" s="3">
        <v>176</v>
      </c>
      <c r="M268" t="s">
        <v>36</v>
      </c>
    </row>
    <row r="269" spans="1:13" x14ac:dyDescent="0.25">
      <c r="A269" s="1">
        <v>44744</v>
      </c>
      <c r="B269" s="1" t="str">
        <f t="shared" si="8"/>
        <v>Saturday</v>
      </c>
      <c r="C269" s="1" t="str">
        <f t="shared" si="9"/>
        <v>July</v>
      </c>
      <c r="D269" t="s">
        <v>24</v>
      </c>
      <c r="E269" t="s">
        <v>19</v>
      </c>
      <c r="F269" t="s">
        <v>25</v>
      </c>
      <c r="G269" t="s">
        <v>30</v>
      </c>
      <c r="H269" t="s">
        <v>32</v>
      </c>
      <c r="I269" t="s">
        <v>34</v>
      </c>
      <c r="J269">
        <v>4</v>
      </c>
      <c r="K269">
        <v>293.33</v>
      </c>
      <c r="L269" s="3">
        <v>1173.32</v>
      </c>
      <c r="M269" t="s">
        <v>17</v>
      </c>
    </row>
    <row r="270" spans="1:13" x14ac:dyDescent="0.25">
      <c r="A270" s="1">
        <v>44759</v>
      </c>
      <c r="B270" s="1" t="str">
        <f t="shared" si="8"/>
        <v>Sunday</v>
      </c>
      <c r="C270" s="1" t="str">
        <f t="shared" si="9"/>
        <v>July</v>
      </c>
      <c r="D270" t="s">
        <v>24</v>
      </c>
      <c r="E270" t="s">
        <v>19</v>
      </c>
      <c r="F270" t="s">
        <v>25</v>
      </c>
      <c r="G270" t="s">
        <v>14</v>
      </c>
      <c r="H270" t="s">
        <v>15</v>
      </c>
      <c r="I270" t="s">
        <v>27</v>
      </c>
      <c r="J270">
        <v>5</v>
      </c>
      <c r="K270">
        <v>285.37</v>
      </c>
      <c r="L270" s="3">
        <v>1426.85</v>
      </c>
      <c r="M270" t="s">
        <v>35</v>
      </c>
    </row>
    <row r="271" spans="1:13" x14ac:dyDescent="0.25">
      <c r="A271" s="1">
        <v>44576</v>
      </c>
      <c r="B271" s="1" t="str">
        <f t="shared" si="8"/>
        <v>Saturday</v>
      </c>
      <c r="C271" s="1" t="str">
        <f t="shared" si="9"/>
        <v>January</v>
      </c>
      <c r="D271" t="s">
        <v>37</v>
      </c>
      <c r="E271" t="s">
        <v>29</v>
      </c>
      <c r="F271" t="s">
        <v>38</v>
      </c>
      <c r="G271" t="s">
        <v>26</v>
      </c>
      <c r="H271" t="s">
        <v>40</v>
      </c>
      <c r="I271" t="s">
        <v>22</v>
      </c>
      <c r="J271">
        <v>5</v>
      </c>
      <c r="K271">
        <v>220.59</v>
      </c>
      <c r="L271" s="3">
        <v>1102.95</v>
      </c>
      <c r="M271" t="s">
        <v>36</v>
      </c>
    </row>
    <row r="272" spans="1:13" x14ac:dyDescent="0.25">
      <c r="A272" s="1">
        <v>44623</v>
      </c>
      <c r="B272" s="1" t="str">
        <f t="shared" si="8"/>
        <v>Thursday</v>
      </c>
      <c r="C272" s="1" t="str">
        <f t="shared" si="9"/>
        <v>March</v>
      </c>
      <c r="D272" t="s">
        <v>24</v>
      </c>
      <c r="E272" t="s">
        <v>19</v>
      </c>
      <c r="F272" t="s">
        <v>25</v>
      </c>
      <c r="G272" t="s">
        <v>30</v>
      </c>
      <c r="H272" t="s">
        <v>21</v>
      </c>
      <c r="I272" t="s">
        <v>33</v>
      </c>
      <c r="J272">
        <v>5</v>
      </c>
      <c r="K272">
        <v>214</v>
      </c>
      <c r="L272" s="3">
        <v>1070</v>
      </c>
      <c r="M272" t="s">
        <v>36</v>
      </c>
    </row>
    <row r="273" spans="1:13" x14ac:dyDescent="0.25">
      <c r="A273" s="1">
        <v>44791</v>
      </c>
      <c r="B273" s="1" t="str">
        <f t="shared" si="8"/>
        <v>Thursday</v>
      </c>
      <c r="C273" s="1" t="str">
        <f t="shared" si="9"/>
        <v>August</v>
      </c>
      <c r="D273" t="s">
        <v>18</v>
      </c>
      <c r="E273" t="s">
        <v>19</v>
      </c>
      <c r="F273" t="s">
        <v>20</v>
      </c>
      <c r="G273" t="s">
        <v>14</v>
      </c>
      <c r="H273" t="s">
        <v>15</v>
      </c>
      <c r="I273" t="s">
        <v>27</v>
      </c>
      <c r="J273">
        <v>5</v>
      </c>
      <c r="K273">
        <v>208.24</v>
      </c>
      <c r="L273" s="3">
        <v>1041.2</v>
      </c>
      <c r="M273" t="s">
        <v>17</v>
      </c>
    </row>
    <row r="274" spans="1:13" x14ac:dyDescent="0.25">
      <c r="A274" s="1">
        <v>44719</v>
      </c>
      <c r="B274" s="1" t="str">
        <f t="shared" si="8"/>
        <v>Tuesday</v>
      </c>
      <c r="C274" s="1" t="str">
        <f t="shared" si="9"/>
        <v>June</v>
      </c>
      <c r="D274" t="s">
        <v>41</v>
      </c>
      <c r="E274" t="s">
        <v>29</v>
      </c>
      <c r="F274" t="s">
        <v>42</v>
      </c>
      <c r="G274" t="s">
        <v>14</v>
      </c>
      <c r="H274" t="s">
        <v>32</v>
      </c>
      <c r="I274" t="s">
        <v>27</v>
      </c>
      <c r="J274">
        <v>4</v>
      </c>
      <c r="K274">
        <v>133.69999999999999</v>
      </c>
      <c r="L274" s="3">
        <v>534.79999999999995</v>
      </c>
      <c r="M274" t="s">
        <v>35</v>
      </c>
    </row>
    <row r="275" spans="1:13" x14ac:dyDescent="0.25">
      <c r="A275" s="1">
        <v>44797</v>
      </c>
      <c r="B275" s="1" t="str">
        <f t="shared" si="8"/>
        <v>Wednesday</v>
      </c>
      <c r="C275" s="1" t="str">
        <f t="shared" si="9"/>
        <v>August</v>
      </c>
      <c r="D275" t="s">
        <v>11</v>
      </c>
      <c r="E275" t="s">
        <v>12</v>
      </c>
      <c r="F275" t="s">
        <v>13</v>
      </c>
      <c r="G275" t="s">
        <v>30</v>
      </c>
      <c r="H275" t="s">
        <v>32</v>
      </c>
      <c r="I275" t="s">
        <v>43</v>
      </c>
      <c r="J275">
        <v>2</v>
      </c>
      <c r="K275">
        <v>158.69999999999999</v>
      </c>
      <c r="L275" s="3">
        <v>317.39999999999998</v>
      </c>
      <c r="M275" t="s">
        <v>36</v>
      </c>
    </row>
    <row r="276" spans="1:13" x14ac:dyDescent="0.25">
      <c r="A276" s="1">
        <v>44580</v>
      </c>
      <c r="B276" s="1" t="str">
        <f t="shared" si="8"/>
        <v>Wednesday</v>
      </c>
      <c r="C276" s="1" t="str">
        <f t="shared" si="9"/>
        <v>January</v>
      </c>
      <c r="D276" t="s">
        <v>28</v>
      </c>
      <c r="E276" t="s">
        <v>29</v>
      </c>
      <c r="F276" t="s">
        <v>25</v>
      </c>
      <c r="G276" t="s">
        <v>26</v>
      </c>
      <c r="H276" t="s">
        <v>21</v>
      </c>
      <c r="I276" t="s">
        <v>34</v>
      </c>
      <c r="J276">
        <v>2</v>
      </c>
      <c r="K276">
        <v>244.13</v>
      </c>
      <c r="L276" s="3">
        <v>488.26</v>
      </c>
      <c r="M276" t="s">
        <v>23</v>
      </c>
    </row>
    <row r="277" spans="1:13" x14ac:dyDescent="0.25">
      <c r="A277" s="1">
        <v>44792</v>
      </c>
      <c r="B277" s="1" t="str">
        <f t="shared" si="8"/>
        <v>Friday</v>
      </c>
      <c r="C277" s="1" t="str">
        <f t="shared" si="9"/>
        <v>August</v>
      </c>
      <c r="D277" t="s">
        <v>28</v>
      </c>
      <c r="E277" t="s">
        <v>29</v>
      </c>
      <c r="F277" t="s">
        <v>25</v>
      </c>
      <c r="G277" t="s">
        <v>26</v>
      </c>
      <c r="H277" t="s">
        <v>32</v>
      </c>
      <c r="I277" t="s">
        <v>33</v>
      </c>
      <c r="J277">
        <v>5</v>
      </c>
      <c r="K277">
        <v>147.99</v>
      </c>
      <c r="L277" s="3">
        <v>739.95</v>
      </c>
      <c r="M277" t="s">
        <v>35</v>
      </c>
    </row>
    <row r="278" spans="1:13" x14ac:dyDescent="0.25">
      <c r="A278" s="1">
        <v>44784</v>
      </c>
      <c r="B278" s="1" t="str">
        <f t="shared" si="8"/>
        <v>Thursday</v>
      </c>
      <c r="C278" s="1" t="str">
        <f t="shared" si="9"/>
        <v>August</v>
      </c>
      <c r="D278" t="s">
        <v>11</v>
      </c>
      <c r="E278" t="s">
        <v>12</v>
      </c>
      <c r="F278" t="s">
        <v>13</v>
      </c>
      <c r="G278" t="s">
        <v>14</v>
      </c>
      <c r="H278" t="s">
        <v>32</v>
      </c>
      <c r="I278" t="s">
        <v>16</v>
      </c>
      <c r="J278">
        <v>1</v>
      </c>
      <c r="K278">
        <v>157.81</v>
      </c>
      <c r="L278" s="3">
        <v>157.81</v>
      </c>
      <c r="M278" t="s">
        <v>23</v>
      </c>
    </row>
    <row r="279" spans="1:13" x14ac:dyDescent="0.25">
      <c r="A279" s="1">
        <v>44644</v>
      </c>
      <c r="B279" s="1" t="str">
        <f t="shared" si="8"/>
        <v>Thursday</v>
      </c>
      <c r="C279" s="1" t="str">
        <f t="shared" si="9"/>
        <v>March</v>
      </c>
      <c r="D279" t="s">
        <v>48</v>
      </c>
      <c r="E279" t="s">
        <v>49</v>
      </c>
      <c r="F279" t="s">
        <v>50</v>
      </c>
      <c r="G279" t="s">
        <v>14</v>
      </c>
      <c r="H279" t="s">
        <v>21</v>
      </c>
      <c r="I279" t="s">
        <v>27</v>
      </c>
      <c r="J279">
        <v>2</v>
      </c>
      <c r="K279">
        <v>212.76</v>
      </c>
      <c r="L279" s="3">
        <v>425.52</v>
      </c>
      <c r="M279" t="s">
        <v>36</v>
      </c>
    </row>
    <row r="280" spans="1:13" x14ac:dyDescent="0.25">
      <c r="A280" s="1">
        <v>44578</v>
      </c>
      <c r="B280" s="1" t="str">
        <f t="shared" si="8"/>
        <v>Monday</v>
      </c>
      <c r="C280" s="1" t="str">
        <f t="shared" si="9"/>
        <v>January</v>
      </c>
      <c r="D280" t="s">
        <v>44</v>
      </c>
      <c r="E280" t="s">
        <v>19</v>
      </c>
      <c r="F280" t="s">
        <v>20</v>
      </c>
      <c r="G280" t="s">
        <v>26</v>
      </c>
      <c r="H280" t="s">
        <v>32</v>
      </c>
      <c r="I280" t="s">
        <v>33</v>
      </c>
      <c r="J280">
        <v>3</v>
      </c>
      <c r="K280">
        <v>225.9</v>
      </c>
      <c r="L280" s="3">
        <v>677.7</v>
      </c>
      <c r="M280" t="s">
        <v>36</v>
      </c>
    </row>
    <row r="281" spans="1:13" x14ac:dyDescent="0.25">
      <c r="A281" s="1">
        <v>44601</v>
      </c>
      <c r="B281" s="1" t="str">
        <f t="shared" si="8"/>
        <v>Wednesday</v>
      </c>
      <c r="C281" s="1" t="str">
        <f t="shared" si="9"/>
        <v>February</v>
      </c>
      <c r="D281" t="s">
        <v>45</v>
      </c>
      <c r="E281" t="s">
        <v>46</v>
      </c>
      <c r="F281" t="s">
        <v>47</v>
      </c>
      <c r="G281" t="s">
        <v>30</v>
      </c>
      <c r="H281" t="s">
        <v>21</v>
      </c>
      <c r="I281" t="s">
        <v>39</v>
      </c>
      <c r="J281">
        <v>3</v>
      </c>
      <c r="K281">
        <v>112.98</v>
      </c>
      <c r="L281" s="3">
        <v>338.94</v>
      </c>
      <c r="M281" t="s">
        <v>36</v>
      </c>
    </row>
    <row r="282" spans="1:13" x14ac:dyDescent="0.25">
      <c r="A282" s="1">
        <v>44694</v>
      </c>
      <c r="B282" s="1" t="str">
        <f t="shared" si="8"/>
        <v>Friday</v>
      </c>
      <c r="C282" s="1" t="str">
        <f t="shared" si="9"/>
        <v>May</v>
      </c>
      <c r="D282" t="s">
        <v>45</v>
      </c>
      <c r="E282" t="s">
        <v>46</v>
      </c>
      <c r="F282" t="s">
        <v>47</v>
      </c>
      <c r="G282" t="s">
        <v>14</v>
      </c>
      <c r="H282" t="s">
        <v>32</v>
      </c>
      <c r="I282" t="s">
        <v>39</v>
      </c>
      <c r="J282">
        <v>2</v>
      </c>
      <c r="K282">
        <v>100.84</v>
      </c>
      <c r="L282" s="3">
        <v>201.68</v>
      </c>
      <c r="M282" t="s">
        <v>23</v>
      </c>
    </row>
    <row r="283" spans="1:13" x14ac:dyDescent="0.25">
      <c r="A283" s="1">
        <v>44595</v>
      </c>
      <c r="B283" s="1" t="str">
        <f t="shared" si="8"/>
        <v>Thursday</v>
      </c>
      <c r="C283" s="1" t="str">
        <f t="shared" si="9"/>
        <v>February</v>
      </c>
      <c r="D283" t="s">
        <v>31</v>
      </c>
      <c r="E283" t="s">
        <v>19</v>
      </c>
      <c r="F283" t="s">
        <v>25</v>
      </c>
      <c r="G283" t="s">
        <v>26</v>
      </c>
      <c r="H283" t="s">
        <v>32</v>
      </c>
      <c r="I283" t="s">
        <v>39</v>
      </c>
      <c r="J283">
        <v>4</v>
      </c>
      <c r="K283">
        <v>292.75</v>
      </c>
      <c r="L283" s="3">
        <v>1171</v>
      </c>
      <c r="M283" t="s">
        <v>36</v>
      </c>
    </row>
    <row r="284" spans="1:13" x14ac:dyDescent="0.25">
      <c r="A284" s="1">
        <v>44600</v>
      </c>
      <c r="B284" s="1" t="str">
        <f t="shared" si="8"/>
        <v>Tuesday</v>
      </c>
      <c r="C284" s="1" t="str">
        <f t="shared" si="9"/>
        <v>February</v>
      </c>
      <c r="D284" t="s">
        <v>28</v>
      </c>
      <c r="E284" t="s">
        <v>29</v>
      </c>
      <c r="F284" t="s">
        <v>25</v>
      </c>
      <c r="G284" t="s">
        <v>30</v>
      </c>
      <c r="H284" t="s">
        <v>21</v>
      </c>
      <c r="I284" t="s">
        <v>34</v>
      </c>
      <c r="J284">
        <v>3</v>
      </c>
      <c r="K284">
        <v>82.62</v>
      </c>
      <c r="L284" s="3">
        <v>247.86</v>
      </c>
      <c r="M284" t="s">
        <v>23</v>
      </c>
    </row>
    <row r="285" spans="1:13" x14ac:dyDescent="0.25">
      <c r="A285" s="1">
        <v>44760</v>
      </c>
      <c r="B285" s="1" t="str">
        <f t="shared" si="8"/>
        <v>Monday</v>
      </c>
      <c r="C285" s="1" t="str">
        <f t="shared" si="9"/>
        <v>July</v>
      </c>
      <c r="D285" t="s">
        <v>37</v>
      </c>
      <c r="E285" t="s">
        <v>29</v>
      </c>
      <c r="F285" t="s">
        <v>38</v>
      </c>
      <c r="G285" t="s">
        <v>30</v>
      </c>
      <c r="H285" t="s">
        <v>40</v>
      </c>
      <c r="I285" t="s">
        <v>33</v>
      </c>
      <c r="J285">
        <v>3</v>
      </c>
      <c r="K285">
        <v>246.13</v>
      </c>
      <c r="L285" s="3">
        <v>738.39</v>
      </c>
      <c r="M285" t="s">
        <v>35</v>
      </c>
    </row>
    <row r="286" spans="1:13" x14ac:dyDescent="0.25">
      <c r="A286" s="1">
        <v>44680</v>
      </c>
      <c r="B286" s="1" t="str">
        <f t="shared" si="8"/>
        <v>Friday</v>
      </c>
      <c r="C286" s="1" t="str">
        <f t="shared" si="9"/>
        <v>April</v>
      </c>
      <c r="D286" t="s">
        <v>24</v>
      </c>
      <c r="E286" t="s">
        <v>19</v>
      </c>
      <c r="F286" t="s">
        <v>25</v>
      </c>
      <c r="G286" t="s">
        <v>30</v>
      </c>
      <c r="H286" t="s">
        <v>21</v>
      </c>
      <c r="I286" t="s">
        <v>27</v>
      </c>
      <c r="J286">
        <v>4</v>
      </c>
      <c r="K286">
        <v>168.01</v>
      </c>
      <c r="L286" s="3">
        <v>672.04</v>
      </c>
      <c r="M286" t="s">
        <v>36</v>
      </c>
    </row>
    <row r="287" spans="1:13" x14ac:dyDescent="0.25">
      <c r="A287" s="1">
        <v>44799</v>
      </c>
      <c r="B287" s="1" t="str">
        <f t="shared" si="8"/>
        <v>Friday</v>
      </c>
      <c r="C287" s="1" t="str">
        <f t="shared" si="9"/>
        <v>August</v>
      </c>
      <c r="D287" t="s">
        <v>44</v>
      </c>
      <c r="E287" t="s">
        <v>19</v>
      </c>
      <c r="F287" t="s">
        <v>20</v>
      </c>
      <c r="G287" t="s">
        <v>30</v>
      </c>
      <c r="H287" t="s">
        <v>40</v>
      </c>
      <c r="I287" t="s">
        <v>16</v>
      </c>
      <c r="J287">
        <v>1</v>
      </c>
      <c r="K287">
        <v>93.08</v>
      </c>
      <c r="L287" s="3">
        <v>93.08</v>
      </c>
      <c r="M287" t="s">
        <v>36</v>
      </c>
    </row>
    <row r="288" spans="1:13" x14ac:dyDescent="0.25">
      <c r="A288" s="1">
        <v>44575</v>
      </c>
      <c r="B288" s="1" t="str">
        <f t="shared" si="8"/>
        <v>Friday</v>
      </c>
      <c r="C288" s="1" t="str">
        <f t="shared" si="9"/>
        <v>January</v>
      </c>
      <c r="D288" t="s">
        <v>37</v>
      </c>
      <c r="E288" t="s">
        <v>29</v>
      </c>
      <c r="F288" t="s">
        <v>38</v>
      </c>
      <c r="G288" t="s">
        <v>26</v>
      </c>
      <c r="H288" t="s">
        <v>15</v>
      </c>
      <c r="I288" t="s">
        <v>33</v>
      </c>
      <c r="J288">
        <v>3</v>
      </c>
      <c r="K288">
        <v>161.55000000000001</v>
      </c>
      <c r="L288" s="3">
        <v>484.65</v>
      </c>
      <c r="M288" t="s">
        <v>35</v>
      </c>
    </row>
    <row r="289" spans="1:13" x14ac:dyDescent="0.25">
      <c r="A289" s="1">
        <v>44617</v>
      </c>
      <c r="B289" s="1" t="str">
        <f t="shared" si="8"/>
        <v>Friday</v>
      </c>
      <c r="C289" s="1" t="str">
        <f t="shared" si="9"/>
        <v>February</v>
      </c>
      <c r="D289" t="s">
        <v>45</v>
      </c>
      <c r="E289" t="s">
        <v>46</v>
      </c>
      <c r="F289" t="s">
        <v>47</v>
      </c>
      <c r="G289" t="s">
        <v>30</v>
      </c>
      <c r="H289" t="s">
        <v>32</v>
      </c>
      <c r="I289" t="s">
        <v>27</v>
      </c>
      <c r="J289">
        <v>3</v>
      </c>
      <c r="K289">
        <v>228.84</v>
      </c>
      <c r="L289" s="3">
        <v>686.52</v>
      </c>
      <c r="M289" t="s">
        <v>35</v>
      </c>
    </row>
    <row r="290" spans="1:13" x14ac:dyDescent="0.25">
      <c r="A290" s="1">
        <v>44704</v>
      </c>
      <c r="B290" s="1" t="str">
        <f t="shared" si="8"/>
        <v>Monday</v>
      </c>
      <c r="C290" s="1" t="str">
        <f t="shared" si="9"/>
        <v>May</v>
      </c>
      <c r="D290" t="s">
        <v>37</v>
      </c>
      <c r="E290" t="s">
        <v>29</v>
      </c>
      <c r="F290" t="s">
        <v>38</v>
      </c>
      <c r="G290" t="s">
        <v>26</v>
      </c>
      <c r="H290" t="s">
        <v>40</v>
      </c>
      <c r="I290" t="s">
        <v>22</v>
      </c>
      <c r="J290">
        <v>4</v>
      </c>
      <c r="K290">
        <v>221.31</v>
      </c>
      <c r="L290" s="3">
        <v>885.24</v>
      </c>
      <c r="M290" t="s">
        <v>17</v>
      </c>
    </row>
    <row r="291" spans="1:13" x14ac:dyDescent="0.25">
      <c r="A291" s="1">
        <v>44768</v>
      </c>
      <c r="B291" s="1" t="str">
        <f t="shared" si="8"/>
        <v>Tuesday</v>
      </c>
      <c r="C291" s="1" t="str">
        <f t="shared" si="9"/>
        <v>July</v>
      </c>
      <c r="D291" t="s">
        <v>45</v>
      </c>
      <c r="E291" t="s">
        <v>46</v>
      </c>
      <c r="F291" t="s">
        <v>47</v>
      </c>
      <c r="G291" t="s">
        <v>26</v>
      </c>
      <c r="H291" t="s">
        <v>40</v>
      </c>
      <c r="I291" t="s">
        <v>34</v>
      </c>
      <c r="J291">
        <v>2</v>
      </c>
      <c r="K291">
        <v>287.68</v>
      </c>
      <c r="L291" s="3">
        <v>575.36</v>
      </c>
      <c r="M291" t="s">
        <v>23</v>
      </c>
    </row>
    <row r="292" spans="1:13" x14ac:dyDescent="0.25">
      <c r="A292" s="1">
        <v>44577</v>
      </c>
      <c r="B292" s="1" t="str">
        <f t="shared" si="8"/>
        <v>Sunday</v>
      </c>
      <c r="C292" s="1" t="str">
        <f t="shared" si="9"/>
        <v>January</v>
      </c>
      <c r="D292" t="s">
        <v>24</v>
      </c>
      <c r="E292" t="s">
        <v>19</v>
      </c>
      <c r="F292" t="s">
        <v>25</v>
      </c>
      <c r="G292" t="s">
        <v>26</v>
      </c>
      <c r="H292" t="s">
        <v>15</v>
      </c>
      <c r="I292" t="s">
        <v>34</v>
      </c>
      <c r="J292">
        <v>5</v>
      </c>
      <c r="K292">
        <v>168.7</v>
      </c>
      <c r="L292" s="3">
        <v>843.5</v>
      </c>
      <c r="M292" t="s">
        <v>36</v>
      </c>
    </row>
    <row r="293" spans="1:13" x14ac:dyDescent="0.25">
      <c r="A293" s="1">
        <v>44713</v>
      </c>
      <c r="B293" s="1" t="str">
        <f t="shared" si="8"/>
        <v>Wednesday</v>
      </c>
      <c r="C293" s="1" t="str">
        <f t="shared" si="9"/>
        <v>June</v>
      </c>
      <c r="D293" t="s">
        <v>11</v>
      </c>
      <c r="E293" t="s">
        <v>12</v>
      </c>
      <c r="F293" t="s">
        <v>13</v>
      </c>
      <c r="G293" t="s">
        <v>26</v>
      </c>
      <c r="H293" t="s">
        <v>21</v>
      </c>
      <c r="I293" t="s">
        <v>34</v>
      </c>
      <c r="J293">
        <v>3</v>
      </c>
      <c r="K293">
        <v>153.82</v>
      </c>
      <c r="L293" s="3">
        <v>461.46</v>
      </c>
      <c r="M293" t="s">
        <v>23</v>
      </c>
    </row>
    <row r="294" spans="1:13" x14ac:dyDescent="0.25">
      <c r="A294" s="1">
        <v>44605</v>
      </c>
      <c r="B294" s="1" t="str">
        <f t="shared" si="8"/>
        <v>Sunday</v>
      </c>
      <c r="C294" s="1" t="str">
        <f t="shared" si="9"/>
        <v>February</v>
      </c>
      <c r="D294" t="s">
        <v>44</v>
      </c>
      <c r="E294" t="s">
        <v>19</v>
      </c>
      <c r="F294" t="s">
        <v>20</v>
      </c>
      <c r="G294" t="s">
        <v>14</v>
      </c>
      <c r="H294" t="s">
        <v>32</v>
      </c>
      <c r="I294" t="s">
        <v>16</v>
      </c>
      <c r="J294">
        <v>4</v>
      </c>
      <c r="K294">
        <v>281</v>
      </c>
      <c r="L294" s="3">
        <v>1124</v>
      </c>
      <c r="M294" t="s">
        <v>35</v>
      </c>
    </row>
    <row r="295" spans="1:13" x14ac:dyDescent="0.25">
      <c r="A295" s="1">
        <v>44648</v>
      </c>
      <c r="B295" s="1" t="str">
        <f t="shared" si="8"/>
        <v>Monday</v>
      </c>
      <c r="C295" s="1" t="str">
        <f t="shared" si="9"/>
        <v>March</v>
      </c>
      <c r="D295" t="s">
        <v>48</v>
      </c>
      <c r="E295" t="s">
        <v>49</v>
      </c>
      <c r="F295" t="s">
        <v>50</v>
      </c>
      <c r="G295" t="s">
        <v>26</v>
      </c>
      <c r="H295" t="s">
        <v>21</v>
      </c>
      <c r="I295" t="s">
        <v>43</v>
      </c>
      <c r="J295">
        <v>5</v>
      </c>
      <c r="K295">
        <v>112.4</v>
      </c>
      <c r="L295" s="3">
        <v>562</v>
      </c>
      <c r="M295" t="s">
        <v>36</v>
      </c>
    </row>
    <row r="296" spans="1:13" x14ac:dyDescent="0.25">
      <c r="A296" s="1">
        <v>44581</v>
      </c>
      <c r="B296" s="1" t="str">
        <f t="shared" si="8"/>
        <v>Thursday</v>
      </c>
      <c r="C296" s="1" t="str">
        <f t="shared" si="9"/>
        <v>January</v>
      </c>
      <c r="D296" t="s">
        <v>37</v>
      </c>
      <c r="E296" t="s">
        <v>29</v>
      </c>
      <c r="F296" t="s">
        <v>38</v>
      </c>
      <c r="G296" t="s">
        <v>14</v>
      </c>
      <c r="H296" t="s">
        <v>15</v>
      </c>
      <c r="I296" t="s">
        <v>39</v>
      </c>
      <c r="J296">
        <v>1</v>
      </c>
      <c r="K296">
        <v>233.16</v>
      </c>
      <c r="L296" s="3">
        <v>233.16</v>
      </c>
      <c r="M296" t="s">
        <v>23</v>
      </c>
    </row>
    <row r="297" spans="1:13" x14ac:dyDescent="0.25">
      <c r="A297" s="1">
        <v>44619</v>
      </c>
      <c r="B297" s="1" t="str">
        <f t="shared" si="8"/>
        <v>Sunday</v>
      </c>
      <c r="C297" s="1" t="str">
        <f t="shared" si="9"/>
        <v>February</v>
      </c>
      <c r="D297" t="s">
        <v>18</v>
      </c>
      <c r="E297" t="s">
        <v>19</v>
      </c>
      <c r="F297" t="s">
        <v>20</v>
      </c>
      <c r="G297" t="s">
        <v>14</v>
      </c>
      <c r="H297" t="s">
        <v>40</v>
      </c>
      <c r="I297" t="s">
        <v>22</v>
      </c>
      <c r="J297">
        <v>5</v>
      </c>
      <c r="K297">
        <v>248.71</v>
      </c>
      <c r="L297" s="3">
        <v>1243.55</v>
      </c>
      <c r="M297" t="s">
        <v>36</v>
      </c>
    </row>
    <row r="298" spans="1:13" x14ac:dyDescent="0.25">
      <c r="A298" s="1">
        <v>44707</v>
      </c>
      <c r="B298" s="1" t="str">
        <f t="shared" si="8"/>
        <v>Thursday</v>
      </c>
      <c r="C298" s="1" t="str">
        <f t="shared" si="9"/>
        <v>May</v>
      </c>
      <c r="D298" t="s">
        <v>28</v>
      </c>
      <c r="E298" t="s">
        <v>29</v>
      </c>
      <c r="F298" t="s">
        <v>25</v>
      </c>
      <c r="G298" t="s">
        <v>30</v>
      </c>
      <c r="H298" t="s">
        <v>32</v>
      </c>
      <c r="I298" t="s">
        <v>33</v>
      </c>
      <c r="J298">
        <v>5</v>
      </c>
      <c r="K298">
        <v>157.19999999999999</v>
      </c>
      <c r="L298" s="3">
        <v>786</v>
      </c>
      <c r="M298" t="s">
        <v>36</v>
      </c>
    </row>
    <row r="299" spans="1:13" x14ac:dyDescent="0.25">
      <c r="A299" s="1">
        <v>44590</v>
      </c>
      <c r="B299" s="1" t="str">
        <f t="shared" si="8"/>
        <v>Saturday</v>
      </c>
      <c r="C299" s="1" t="str">
        <f t="shared" si="9"/>
        <v>January</v>
      </c>
      <c r="D299" t="s">
        <v>18</v>
      </c>
      <c r="E299" t="s">
        <v>19</v>
      </c>
      <c r="F299" t="s">
        <v>20</v>
      </c>
      <c r="G299" t="s">
        <v>30</v>
      </c>
      <c r="H299" t="s">
        <v>15</v>
      </c>
      <c r="I299" t="s">
        <v>33</v>
      </c>
      <c r="J299">
        <v>4</v>
      </c>
      <c r="K299">
        <v>113.75</v>
      </c>
      <c r="L299" s="3">
        <v>455</v>
      </c>
      <c r="M299" t="s">
        <v>36</v>
      </c>
    </row>
    <row r="300" spans="1:13" x14ac:dyDescent="0.25">
      <c r="A300" s="1">
        <v>44665</v>
      </c>
      <c r="B300" s="1" t="str">
        <f t="shared" si="8"/>
        <v>Thursday</v>
      </c>
      <c r="C300" s="1" t="str">
        <f t="shared" si="9"/>
        <v>April</v>
      </c>
      <c r="D300" t="s">
        <v>18</v>
      </c>
      <c r="E300" t="s">
        <v>19</v>
      </c>
      <c r="F300" t="s">
        <v>20</v>
      </c>
      <c r="G300" t="s">
        <v>26</v>
      </c>
      <c r="H300" t="s">
        <v>21</v>
      </c>
      <c r="I300" t="s">
        <v>27</v>
      </c>
      <c r="J300">
        <v>1</v>
      </c>
      <c r="K300">
        <v>109.66</v>
      </c>
      <c r="L300" s="3">
        <v>109.66</v>
      </c>
      <c r="M300" t="s">
        <v>23</v>
      </c>
    </row>
    <row r="301" spans="1:13" x14ac:dyDescent="0.25">
      <c r="A301" s="1">
        <v>44718</v>
      </c>
      <c r="B301" s="1" t="str">
        <f t="shared" si="8"/>
        <v>Monday</v>
      </c>
      <c r="C301" s="1" t="str">
        <f t="shared" si="9"/>
        <v>June</v>
      </c>
      <c r="D301" t="s">
        <v>48</v>
      </c>
      <c r="E301" t="s">
        <v>49</v>
      </c>
      <c r="F301" t="s">
        <v>50</v>
      </c>
      <c r="G301" t="s">
        <v>26</v>
      </c>
      <c r="H301" t="s">
        <v>32</v>
      </c>
      <c r="I301" t="s">
        <v>43</v>
      </c>
      <c r="J301">
        <v>1</v>
      </c>
      <c r="K301">
        <v>81.569999999999993</v>
      </c>
      <c r="L301" s="3">
        <v>81.569999999999993</v>
      </c>
      <c r="M301" t="s">
        <v>35</v>
      </c>
    </row>
    <row r="302" spans="1:13" x14ac:dyDescent="0.25">
      <c r="A302" s="1">
        <v>44600</v>
      </c>
      <c r="B302" s="1" t="str">
        <f t="shared" si="8"/>
        <v>Tuesday</v>
      </c>
      <c r="C302" s="1" t="str">
        <f t="shared" si="9"/>
        <v>February</v>
      </c>
      <c r="D302" t="s">
        <v>11</v>
      </c>
      <c r="E302" t="s">
        <v>12</v>
      </c>
      <c r="F302" t="s">
        <v>13</v>
      </c>
      <c r="G302" t="s">
        <v>30</v>
      </c>
      <c r="H302" t="s">
        <v>32</v>
      </c>
      <c r="I302" t="s">
        <v>39</v>
      </c>
      <c r="J302">
        <v>2</v>
      </c>
      <c r="K302">
        <v>247.2</v>
      </c>
      <c r="L302" s="3">
        <v>494.4</v>
      </c>
      <c r="M302" t="s">
        <v>35</v>
      </c>
    </row>
    <row r="303" spans="1:13" x14ac:dyDescent="0.25">
      <c r="A303" s="1">
        <v>44687</v>
      </c>
      <c r="B303" s="1" t="str">
        <f t="shared" si="8"/>
        <v>Friday</v>
      </c>
      <c r="C303" s="1" t="str">
        <f t="shared" si="9"/>
        <v>May</v>
      </c>
      <c r="D303" t="s">
        <v>48</v>
      </c>
      <c r="E303" t="s">
        <v>49</v>
      </c>
      <c r="F303" t="s">
        <v>50</v>
      </c>
      <c r="G303" t="s">
        <v>26</v>
      </c>
      <c r="H303" t="s">
        <v>40</v>
      </c>
      <c r="I303" t="s">
        <v>16</v>
      </c>
      <c r="J303">
        <v>4</v>
      </c>
      <c r="K303">
        <v>250.26</v>
      </c>
      <c r="L303" s="3">
        <v>1001.04</v>
      </c>
      <c r="M303" t="s">
        <v>17</v>
      </c>
    </row>
    <row r="304" spans="1:13" x14ac:dyDescent="0.25">
      <c r="A304" s="1">
        <v>44567</v>
      </c>
      <c r="B304" s="1" t="str">
        <f t="shared" si="8"/>
        <v>Thursday</v>
      </c>
      <c r="C304" s="1" t="str">
        <f t="shared" si="9"/>
        <v>January</v>
      </c>
      <c r="D304" t="s">
        <v>44</v>
      </c>
      <c r="E304" t="s">
        <v>19</v>
      </c>
      <c r="F304" t="s">
        <v>20</v>
      </c>
      <c r="G304" t="s">
        <v>14</v>
      </c>
      <c r="H304" t="s">
        <v>40</v>
      </c>
      <c r="I304" t="s">
        <v>27</v>
      </c>
      <c r="J304">
        <v>1</v>
      </c>
      <c r="K304">
        <v>137.19999999999999</v>
      </c>
      <c r="L304" s="3">
        <v>137.19999999999999</v>
      </c>
      <c r="M304" t="s">
        <v>17</v>
      </c>
    </row>
    <row r="305" spans="1:13" x14ac:dyDescent="0.25">
      <c r="A305" s="1">
        <v>44638</v>
      </c>
      <c r="B305" s="1" t="str">
        <f t="shared" si="8"/>
        <v>Friday</v>
      </c>
      <c r="C305" s="1" t="str">
        <f t="shared" si="9"/>
        <v>March</v>
      </c>
      <c r="D305" t="s">
        <v>44</v>
      </c>
      <c r="E305" t="s">
        <v>19</v>
      </c>
      <c r="F305" t="s">
        <v>20</v>
      </c>
      <c r="G305" t="s">
        <v>26</v>
      </c>
      <c r="H305" t="s">
        <v>21</v>
      </c>
      <c r="I305" t="s">
        <v>39</v>
      </c>
      <c r="J305">
        <v>3</v>
      </c>
      <c r="K305">
        <v>164.06</v>
      </c>
      <c r="L305" s="3">
        <v>492.18</v>
      </c>
      <c r="M305" t="s">
        <v>35</v>
      </c>
    </row>
    <row r="306" spans="1:13" x14ac:dyDescent="0.25">
      <c r="A306" s="1">
        <v>44599</v>
      </c>
      <c r="B306" s="1" t="str">
        <f t="shared" si="8"/>
        <v>Monday</v>
      </c>
      <c r="C306" s="1" t="str">
        <f t="shared" si="9"/>
        <v>February</v>
      </c>
      <c r="D306" t="s">
        <v>37</v>
      </c>
      <c r="E306" t="s">
        <v>29</v>
      </c>
      <c r="F306" t="s">
        <v>38</v>
      </c>
      <c r="G306" t="s">
        <v>14</v>
      </c>
      <c r="H306" t="s">
        <v>21</v>
      </c>
      <c r="I306" t="s">
        <v>22</v>
      </c>
      <c r="J306">
        <v>4</v>
      </c>
      <c r="K306">
        <v>198.45</v>
      </c>
      <c r="L306" s="3">
        <v>793.8</v>
      </c>
      <c r="M306" t="s">
        <v>36</v>
      </c>
    </row>
    <row r="307" spans="1:13" x14ac:dyDescent="0.25">
      <c r="A307" s="1">
        <v>44717</v>
      </c>
      <c r="B307" s="1" t="str">
        <f t="shared" si="8"/>
        <v>Sunday</v>
      </c>
      <c r="C307" s="1" t="str">
        <f t="shared" si="9"/>
        <v>June</v>
      </c>
      <c r="D307" t="s">
        <v>48</v>
      </c>
      <c r="E307" t="s">
        <v>49</v>
      </c>
      <c r="F307" t="s">
        <v>50</v>
      </c>
      <c r="G307" t="s">
        <v>14</v>
      </c>
      <c r="H307" t="s">
        <v>15</v>
      </c>
      <c r="I307" t="s">
        <v>27</v>
      </c>
      <c r="J307">
        <v>2</v>
      </c>
      <c r="K307">
        <v>162.47999999999999</v>
      </c>
      <c r="L307" s="3">
        <v>324.95999999999998</v>
      </c>
      <c r="M307" t="s">
        <v>23</v>
      </c>
    </row>
    <row r="308" spans="1:13" x14ac:dyDescent="0.25">
      <c r="A308" s="1">
        <v>44725</v>
      </c>
      <c r="B308" s="1" t="str">
        <f t="shared" si="8"/>
        <v>Monday</v>
      </c>
      <c r="C308" s="1" t="str">
        <f t="shared" si="9"/>
        <v>June</v>
      </c>
      <c r="D308" t="s">
        <v>41</v>
      </c>
      <c r="E308" t="s">
        <v>29</v>
      </c>
      <c r="F308" t="s">
        <v>42</v>
      </c>
      <c r="G308" t="s">
        <v>30</v>
      </c>
      <c r="H308" t="s">
        <v>32</v>
      </c>
      <c r="I308" t="s">
        <v>34</v>
      </c>
      <c r="J308">
        <v>4</v>
      </c>
      <c r="K308">
        <v>243.48</v>
      </c>
      <c r="L308" s="3">
        <v>973.92</v>
      </c>
      <c r="M308" t="s">
        <v>36</v>
      </c>
    </row>
    <row r="309" spans="1:13" x14ac:dyDescent="0.25">
      <c r="A309" s="1">
        <v>44783</v>
      </c>
      <c r="B309" s="1" t="str">
        <f t="shared" si="8"/>
        <v>Wednesday</v>
      </c>
      <c r="C309" s="1" t="str">
        <f t="shared" si="9"/>
        <v>August</v>
      </c>
      <c r="D309" t="s">
        <v>24</v>
      </c>
      <c r="E309" t="s">
        <v>19</v>
      </c>
      <c r="F309" t="s">
        <v>25</v>
      </c>
      <c r="G309" t="s">
        <v>26</v>
      </c>
      <c r="H309" t="s">
        <v>15</v>
      </c>
      <c r="I309" t="s">
        <v>34</v>
      </c>
      <c r="J309">
        <v>4</v>
      </c>
      <c r="K309">
        <v>183.4</v>
      </c>
      <c r="L309" s="3">
        <v>733.6</v>
      </c>
      <c r="M309" t="s">
        <v>17</v>
      </c>
    </row>
    <row r="310" spans="1:13" x14ac:dyDescent="0.25">
      <c r="A310" s="1">
        <v>44686</v>
      </c>
      <c r="B310" s="1" t="str">
        <f t="shared" si="8"/>
        <v>Thursday</v>
      </c>
      <c r="C310" s="1" t="str">
        <f t="shared" si="9"/>
        <v>May</v>
      </c>
      <c r="D310" t="s">
        <v>37</v>
      </c>
      <c r="E310" t="s">
        <v>29</v>
      </c>
      <c r="F310" t="s">
        <v>38</v>
      </c>
      <c r="G310" t="s">
        <v>30</v>
      </c>
      <c r="H310" t="s">
        <v>21</v>
      </c>
      <c r="I310" t="s">
        <v>34</v>
      </c>
      <c r="J310">
        <v>1</v>
      </c>
      <c r="K310">
        <v>271.44</v>
      </c>
      <c r="L310" s="3">
        <v>271.44</v>
      </c>
      <c r="M310" t="s">
        <v>23</v>
      </c>
    </row>
    <row r="311" spans="1:13" x14ac:dyDescent="0.25">
      <c r="A311" s="1">
        <v>44621</v>
      </c>
      <c r="B311" s="1" t="str">
        <f t="shared" si="8"/>
        <v>Tuesday</v>
      </c>
      <c r="C311" s="1" t="str">
        <f t="shared" si="9"/>
        <v>March</v>
      </c>
      <c r="D311" t="s">
        <v>37</v>
      </c>
      <c r="E311" t="s">
        <v>29</v>
      </c>
      <c r="F311" t="s">
        <v>38</v>
      </c>
      <c r="G311" t="s">
        <v>14</v>
      </c>
      <c r="H311" t="s">
        <v>15</v>
      </c>
      <c r="I311" t="s">
        <v>22</v>
      </c>
      <c r="J311">
        <v>2</v>
      </c>
      <c r="K311">
        <v>135.47999999999999</v>
      </c>
      <c r="L311" s="3">
        <v>270.95999999999998</v>
      </c>
      <c r="M311" t="s">
        <v>23</v>
      </c>
    </row>
    <row r="312" spans="1:13" x14ac:dyDescent="0.25">
      <c r="A312" s="1">
        <v>44582</v>
      </c>
      <c r="B312" s="1" t="str">
        <f t="shared" si="8"/>
        <v>Friday</v>
      </c>
      <c r="C312" s="1" t="str">
        <f t="shared" si="9"/>
        <v>January</v>
      </c>
      <c r="D312" t="s">
        <v>11</v>
      </c>
      <c r="E312" t="s">
        <v>12</v>
      </c>
      <c r="F312" t="s">
        <v>13</v>
      </c>
      <c r="G312" t="s">
        <v>30</v>
      </c>
      <c r="H312" t="s">
        <v>40</v>
      </c>
      <c r="I312" t="s">
        <v>16</v>
      </c>
      <c r="J312">
        <v>5</v>
      </c>
      <c r="K312">
        <v>148.46</v>
      </c>
      <c r="L312" s="3">
        <v>742.3</v>
      </c>
      <c r="M312" t="s">
        <v>17</v>
      </c>
    </row>
    <row r="313" spans="1:13" x14ac:dyDescent="0.25">
      <c r="A313" s="1">
        <v>44752</v>
      </c>
      <c r="B313" s="1" t="str">
        <f t="shared" si="8"/>
        <v>Sunday</v>
      </c>
      <c r="C313" s="1" t="str">
        <f t="shared" si="9"/>
        <v>July</v>
      </c>
      <c r="D313" t="s">
        <v>45</v>
      </c>
      <c r="E313" t="s">
        <v>46</v>
      </c>
      <c r="F313" t="s">
        <v>47</v>
      </c>
      <c r="G313" t="s">
        <v>30</v>
      </c>
      <c r="H313" t="s">
        <v>32</v>
      </c>
      <c r="I313" t="s">
        <v>39</v>
      </c>
      <c r="J313">
        <v>5</v>
      </c>
      <c r="K313">
        <v>251.06</v>
      </c>
      <c r="L313" s="3">
        <v>1255.3</v>
      </c>
      <c r="M313" t="s">
        <v>35</v>
      </c>
    </row>
    <row r="314" spans="1:13" x14ac:dyDescent="0.25">
      <c r="A314" s="1">
        <v>44632</v>
      </c>
      <c r="B314" s="1" t="str">
        <f t="shared" si="8"/>
        <v>Saturday</v>
      </c>
      <c r="C314" s="1" t="str">
        <f t="shared" si="9"/>
        <v>March</v>
      </c>
      <c r="D314" t="s">
        <v>45</v>
      </c>
      <c r="E314" t="s">
        <v>46</v>
      </c>
      <c r="F314" t="s">
        <v>47</v>
      </c>
      <c r="G314" t="s">
        <v>14</v>
      </c>
      <c r="H314" t="s">
        <v>21</v>
      </c>
      <c r="I314" t="s">
        <v>27</v>
      </c>
      <c r="J314">
        <v>2</v>
      </c>
      <c r="K314">
        <v>195.41</v>
      </c>
      <c r="L314" s="3">
        <v>390.82</v>
      </c>
      <c r="M314" t="s">
        <v>17</v>
      </c>
    </row>
    <row r="315" spans="1:13" x14ac:dyDescent="0.25">
      <c r="A315" s="1">
        <v>44583</v>
      </c>
      <c r="B315" s="1" t="str">
        <f t="shared" si="8"/>
        <v>Saturday</v>
      </c>
      <c r="C315" s="1" t="str">
        <f t="shared" si="9"/>
        <v>January</v>
      </c>
      <c r="D315" t="s">
        <v>18</v>
      </c>
      <c r="E315" t="s">
        <v>19</v>
      </c>
      <c r="F315" t="s">
        <v>20</v>
      </c>
      <c r="G315" t="s">
        <v>14</v>
      </c>
      <c r="H315" t="s">
        <v>15</v>
      </c>
      <c r="I315" t="s">
        <v>43</v>
      </c>
      <c r="J315">
        <v>4</v>
      </c>
      <c r="K315">
        <v>206.29</v>
      </c>
      <c r="L315" s="3">
        <v>825.16</v>
      </c>
      <c r="M315" t="s">
        <v>36</v>
      </c>
    </row>
    <row r="316" spans="1:13" x14ac:dyDescent="0.25">
      <c r="A316" s="1">
        <v>44694</v>
      </c>
      <c r="B316" s="1" t="str">
        <f t="shared" si="8"/>
        <v>Friday</v>
      </c>
      <c r="C316" s="1" t="str">
        <f t="shared" si="9"/>
        <v>May</v>
      </c>
      <c r="D316" t="s">
        <v>45</v>
      </c>
      <c r="E316" t="s">
        <v>46</v>
      </c>
      <c r="F316" t="s">
        <v>47</v>
      </c>
      <c r="G316" t="s">
        <v>26</v>
      </c>
      <c r="H316" t="s">
        <v>21</v>
      </c>
      <c r="I316" t="s">
        <v>16</v>
      </c>
      <c r="J316">
        <v>4</v>
      </c>
      <c r="K316">
        <v>146.09</v>
      </c>
      <c r="L316" s="3">
        <v>584.36</v>
      </c>
      <c r="M316" t="s">
        <v>23</v>
      </c>
    </row>
    <row r="317" spans="1:13" x14ac:dyDescent="0.25">
      <c r="A317" s="1">
        <v>44707</v>
      </c>
      <c r="B317" s="1" t="str">
        <f t="shared" si="8"/>
        <v>Thursday</v>
      </c>
      <c r="C317" s="1" t="str">
        <f t="shared" si="9"/>
        <v>May</v>
      </c>
      <c r="D317" t="s">
        <v>18</v>
      </c>
      <c r="E317" t="s">
        <v>19</v>
      </c>
      <c r="F317" t="s">
        <v>20</v>
      </c>
      <c r="G317" t="s">
        <v>26</v>
      </c>
      <c r="H317" t="s">
        <v>15</v>
      </c>
      <c r="I317" t="s">
        <v>22</v>
      </c>
      <c r="J317">
        <v>1</v>
      </c>
      <c r="K317">
        <v>284.3</v>
      </c>
      <c r="L317" s="3">
        <v>284.3</v>
      </c>
      <c r="M317" t="s">
        <v>17</v>
      </c>
    </row>
    <row r="318" spans="1:13" x14ac:dyDescent="0.25">
      <c r="A318" s="1">
        <v>44575</v>
      </c>
      <c r="B318" s="1" t="str">
        <f t="shared" si="8"/>
        <v>Friday</v>
      </c>
      <c r="C318" s="1" t="str">
        <f t="shared" si="9"/>
        <v>January</v>
      </c>
      <c r="D318" t="s">
        <v>48</v>
      </c>
      <c r="E318" t="s">
        <v>49</v>
      </c>
      <c r="F318" t="s">
        <v>50</v>
      </c>
      <c r="G318" t="s">
        <v>14</v>
      </c>
      <c r="H318" t="s">
        <v>15</v>
      </c>
      <c r="I318" t="s">
        <v>33</v>
      </c>
      <c r="J318">
        <v>5</v>
      </c>
      <c r="K318">
        <v>289.47000000000003</v>
      </c>
      <c r="L318" s="3">
        <v>1447.35</v>
      </c>
      <c r="M318" t="s">
        <v>17</v>
      </c>
    </row>
    <row r="319" spans="1:13" x14ac:dyDescent="0.25">
      <c r="A319" s="1">
        <v>44630</v>
      </c>
      <c r="B319" s="1" t="str">
        <f t="shared" si="8"/>
        <v>Thursday</v>
      </c>
      <c r="C319" s="1" t="str">
        <f t="shared" si="9"/>
        <v>March</v>
      </c>
      <c r="D319" t="s">
        <v>28</v>
      </c>
      <c r="E319" t="s">
        <v>29</v>
      </c>
      <c r="F319" t="s">
        <v>25</v>
      </c>
      <c r="G319" t="s">
        <v>26</v>
      </c>
      <c r="H319" t="s">
        <v>40</v>
      </c>
      <c r="I319" t="s">
        <v>34</v>
      </c>
      <c r="J319">
        <v>2</v>
      </c>
      <c r="K319">
        <v>218.25</v>
      </c>
      <c r="L319" s="3">
        <v>436.5</v>
      </c>
      <c r="M319" t="s">
        <v>36</v>
      </c>
    </row>
    <row r="320" spans="1:13" x14ac:dyDescent="0.25">
      <c r="A320" s="1">
        <v>44750</v>
      </c>
      <c r="B320" s="1" t="str">
        <f t="shared" si="8"/>
        <v>Friday</v>
      </c>
      <c r="C320" s="1" t="str">
        <f t="shared" si="9"/>
        <v>July</v>
      </c>
      <c r="D320" t="s">
        <v>31</v>
      </c>
      <c r="E320" t="s">
        <v>19</v>
      </c>
      <c r="F320" t="s">
        <v>25</v>
      </c>
      <c r="G320" t="s">
        <v>30</v>
      </c>
      <c r="H320" t="s">
        <v>21</v>
      </c>
      <c r="I320" t="s">
        <v>43</v>
      </c>
      <c r="J320">
        <v>4</v>
      </c>
      <c r="K320">
        <v>204.62</v>
      </c>
      <c r="L320" s="3">
        <v>818.48</v>
      </c>
      <c r="M320" t="s">
        <v>36</v>
      </c>
    </row>
    <row r="321" spans="1:13" x14ac:dyDescent="0.25">
      <c r="A321" s="1">
        <v>44564</v>
      </c>
      <c r="B321" s="1" t="str">
        <f t="shared" si="8"/>
        <v>Monday</v>
      </c>
      <c r="C321" s="1" t="str">
        <f t="shared" si="9"/>
        <v>January</v>
      </c>
      <c r="D321" t="s">
        <v>48</v>
      </c>
      <c r="E321" t="s">
        <v>49</v>
      </c>
      <c r="F321" t="s">
        <v>50</v>
      </c>
      <c r="G321" t="s">
        <v>26</v>
      </c>
      <c r="H321" t="s">
        <v>15</v>
      </c>
      <c r="I321" t="s">
        <v>16</v>
      </c>
      <c r="J321">
        <v>2</v>
      </c>
      <c r="K321">
        <v>267.42</v>
      </c>
      <c r="L321" s="3">
        <v>534.84</v>
      </c>
      <c r="M321" t="s">
        <v>23</v>
      </c>
    </row>
    <row r="322" spans="1:13" x14ac:dyDescent="0.25">
      <c r="A322" s="1">
        <v>44653</v>
      </c>
      <c r="B322" s="1" t="str">
        <f t="shared" ref="B322:B354" si="10">TEXT(A322,"DDDD")</f>
        <v>Saturday</v>
      </c>
      <c r="C322" s="1" t="str">
        <f t="shared" ref="C322:C354" si="11">TEXT(A322,"MMMM")</f>
        <v>April</v>
      </c>
      <c r="D322" t="s">
        <v>41</v>
      </c>
      <c r="E322" t="s">
        <v>29</v>
      </c>
      <c r="F322" t="s">
        <v>42</v>
      </c>
      <c r="G322" t="s">
        <v>30</v>
      </c>
      <c r="H322" t="s">
        <v>32</v>
      </c>
      <c r="I322" t="s">
        <v>27</v>
      </c>
      <c r="J322">
        <v>1</v>
      </c>
      <c r="K322">
        <v>144.59</v>
      </c>
      <c r="L322" s="3">
        <v>144.59</v>
      </c>
      <c r="M322" t="s">
        <v>35</v>
      </c>
    </row>
    <row r="323" spans="1:13" x14ac:dyDescent="0.25">
      <c r="A323" s="1">
        <v>44790</v>
      </c>
      <c r="B323" s="1" t="str">
        <f t="shared" si="10"/>
        <v>Wednesday</v>
      </c>
      <c r="C323" s="1" t="str">
        <f t="shared" si="11"/>
        <v>August</v>
      </c>
      <c r="D323" t="s">
        <v>18</v>
      </c>
      <c r="E323" t="s">
        <v>19</v>
      </c>
      <c r="F323" t="s">
        <v>20</v>
      </c>
      <c r="G323" t="s">
        <v>30</v>
      </c>
      <c r="H323" t="s">
        <v>40</v>
      </c>
      <c r="I323" t="s">
        <v>39</v>
      </c>
      <c r="J323">
        <v>2</v>
      </c>
      <c r="K323">
        <v>80.47</v>
      </c>
      <c r="L323" s="3">
        <v>160.94</v>
      </c>
      <c r="M323" t="s">
        <v>17</v>
      </c>
    </row>
    <row r="324" spans="1:13" x14ac:dyDescent="0.25">
      <c r="A324" s="1">
        <v>44677</v>
      </c>
      <c r="B324" s="1" t="str">
        <f t="shared" si="10"/>
        <v>Tuesday</v>
      </c>
      <c r="C324" s="1" t="str">
        <f t="shared" si="11"/>
        <v>April</v>
      </c>
      <c r="D324" t="s">
        <v>28</v>
      </c>
      <c r="E324" t="s">
        <v>29</v>
      </c>
      <c r="F324" t="s">
        <v>25</v>
      </c>
      <c r="G324" t="s">
        <v>30</v>
      </c>
      <c r="H324" t="s">
        <v>32</v>
      </c>
      <c r="I324" t="s">
        <v>39</v>
      </c>
      <c r="J324">
        <v>2</v>
      </c>
      <c r="K324">
        <v>98.17</v>
      </c>
      <c r="L324" s="3">
        <v>196.34</v>
      </c>
      <c r="M324" t="s">
        <v>17</v>
      </c>
    </row>
    <row r="325" spans="1:13" x14ac:dyDescent="0.25">
      <c r="A325" s="1">
        <v>44727</v>
      </c>
      <c r="B325" s="1" t="str">
        <f t="shared" si="10"/>
        <v>Wednesday</v>
      </c>
      <c r="C325" s="1" t="str">
        <f t="shared" si="11"/>
        <v>June</v>
      </c>
      <c r="D325" t="s">
        <v>37</v>
      </c>
      <c r="E325" t="s">
        <v>29</v>
      </c>
      <c r="F325" t="s">
        <v>38</v>
      </c>
      <c r="G325" t="s">
        <v>30</v>
      </c>
      <c r="H325" t="s">
        <v>40</v>
      </c>
      <c r="I325" t="s">
        <v>34</v>
      </c>
      <c r="J325">
        <v>2</v>
      </c>
      <c r="K325">
        <v>63.76</v>
      </c>
      <c r="L325" s="3">
        <v>127.52</v>
      </c>
      <c r="M325" t="s">
        <v>23</v>
      </c>
    </row>
    <row r="326" spans="1:13" x14ac:dyDescent="0.25">
      <c r="A326" s="1">
        <v>44657</v>
      </c>
      <c r="B326" s="1" t="str">
        <f t="shared" si="10"/>
        <v>Wednesday</v>
      </c>
      <c r="C326" s="1" t="str">
        <f t="shared" si="11"/>
        <v>April</v>
      </c>
      <c r="D326" t="s">
        <v>41</v>
      </c>
      <c r="E326" t="s">
        <v>29</v>
      </c>
      <c r="F326" t="s">
        <v>42</v>
      </c>
      <c r="G326" t="s">
        <v>30</v>
      </c>
      <c r="H326" t="s">
        <v>32</v>
      </c>
      <c r="I326" t="s">
        <v>34</v>
      </c>
      <c r="J326">
        <v>2</v>
      </c>
      <c r="K326">
        <v>157.12</v>
      </c>
      <c r="L326" s="3">
        <v>314.24</v>
      </c>
      <c r="M326" t="s">
        <v>17</v>
      </c>
    </row>
    <row r="327" spans="1:13" x14ac:dyDescent="0.25">
      <c r="A327" s="1">
        <v>44658</v>
      </c>
      <c r="B327" s="1" t="str">
        <f t="shared" si="10"/>
        <v>Thursday</v>
      </c>
      <c r="C327" s="1" t="str">
        <f t="shared" si="11"/>
        <v>April</v>
      </c>
      <c r="D327" t="s">
        <v>41</v>
      </c>
      <c r="E327" t="s">
        <v>29</v>
      </c>
      <c r="F327" t="s">
        <v>42</v>
      </c>
      <c r="G327" t="s">
        <v>26</v>
      </c>
      <c r="H327" t="s">
        <v>32</v>
      </c>
      <c r="I327" t="s">
        <v>27</v>
      </c>
      <c r="J327">
        <v>5</v>
      </c>
      <c r="K327">
        <v>293.20999999999998</v>
      </c>
      <c r="L327" s="3">
        <v>1466.05</v>
      </c>
      <c r="M327" t="s">
        <v>23</v>
      </c>
    </row>
    <row r="328" spans="1:13" x14ac:dyDescent="0.25">
      <c r="A328" s="1">
        <v>44650</v>
      </c>
      <c r="B328" s="1" t="str">
        <f t="shared" si="10"/>
        <v>Wednesday</v>
      </c>
      <c r="C328" s="1" t="str">
        <f t="shared" si="11"/>
        <v>March</v>
      </c>
      <c r="D328" t="s">
        <v>37</v>
      </c>
      <c r="E328" t="s">
        <v>29</v>
      </c>
      <c r="F328" t="s">
        <v>38</v>
      </c>
      <c r="G328" t="s">
        <v>30</v>
      </c>
      <c r="H328" t="s">
        <v>21</v>
      </c>
      <c r="I328" t="s">
        <v>34</v>
      </c>
      <c r="J328">
        <v>2</v>
      </c>
      <c r="K328">
        <v>142.25</v>
      </c>
      <c r="L328" s="3">
        <v>284.5</v>
      </c>
      <c r="M328" t="s">
        <v>35</v>
      </c>
    </row>
    <row r="329" spans="1:13" x14ac:dyDescent="0.25">
      <c r="A329" s="1">
        <v>44744</v>
      </c>
      <c r="B329" s="1" t="str">
        <f t="shared" si="10"/>
        <v>Saturday</v>
      </c>
      <c r="C329" s="1" t="str">
        <f t="shared" si="11"/>
        <v>July</v>
      </c>
      <c r="D329" t="s">
        <v>37</v>
      </c>
      <c r="E329" t="s">
        <v>29</v>
      </c>
      <c r="F329" t="s">
        <v>38</v>
      </c>
      <c r="G329" t="s">
        <v>30</v>
      </c>
      <c r="H329" t="s">
        <v>40</v>
      </c>
      <c r="I329" t="s">
        <v>16</v>
      </c>
      <c r="J329">
        <v>1</v>
      </c>
      <c r="K329">
        <v>86.17</v>
      </c>
      <c r="L329" s="3">
        <v>86.17</v>
      </c>
      <c r="M329" t="s">
        <v>36</v>
      </c>
    </row>
    <row r="330" spans="1:13" x14ac:dyDescent="0.25">
      <c r="A330" s="1">
        <v>44751</v>
      </c>
      <c r="B330" s="1" t="str">
        <f t="shared" si="10"/>
        <v>Saturday</v>
      </c>
      <c r="C330" s="1" t="str">
        <f t="shared" si="11"/>
        <v>July</v>
      </c>
      <c r="D330" t="s">
        <v>28</v>
      </c>
      <c r="E330" t="s">
        <v>29</v>
      </c>
      <c r="F330" t="s">
        <v>25</v>
      </c>
      <c r="G330" t="s">
        <v>26</v>
      </c>
      <c r="H330" t="s">
        <v>15</v>
      </c>
      <c r="I330" t="s">
        <v>39</v>
      </c>
      <c r="J330">
        <v>3</v>
      </c>
      <c r="K330">
        <v>172.37</v>
      </c>
      <c r="L330" s="3">
        <v>517.11</v>
      </c>
      <c r="M330" t="s">
        <v>17</v>
      </c>
    </row>
    <row r="331" spans="1:13" x14ac:dyDescent="0.25">
      <c r="A331" s="1">
        <v>44597</v>
      </c>
      <c r="B331" s="1" t="str">
        <f t="shared" si="10"/>
        <v>Saturday</v>
      </c>
      <c r="C331" s="1" t="str">
        <f t="shared" si="11"/>
        <v>February</v>
      </c>
      <c r="D331" t="s">
        <v>37</v>
      </c>
      <c r="E331" t="s">
        <v>29</v>
      </c>
      <c r="F331" t="s">
        <v>38</v>
      </c>
      <c r="G331" t="s">
        <v>30</v>
      </c>
      <c r="H331" t="s">
        <v>40</v>
      </c>
      <c r="I331" t="s">
        <v>43</v>
      </c>
      <c r="J331">
        <v>3</v>
      </c>
      <c r="K331">
        <v>236.05</v>
      </c>
      <c r="L331" s="3">
        <v>708.15</v>
      </c>
      <c r="M331" t="s">
        <v>35</v>
      </c>
    </row>
    <row r="332" spans="1:13" x14ac:dyDescent="0.25">
      <c r="A332" s="1">
        <v>44753</v>
      </c>
      <c r="B332" s="1" t="str">
        <f t="shared" si="10"/>
        <v>Monday</v>
      </c>
      <c r="C332" s="1" t="str">
        <f t="shared" si="11"/>
        <v>July</v>
      </c>
      <c r="D332" t="s">
        <v>28</v>
      </c>
      <c r="E332" t="s">
        <v>29</v>
      </c>
      <c r="F332" t="s">
        <v>25</v>
      </c>
      <c r="G332" t="s">
        <v>30</v>
      </c>
      <c r="H332" t="s">
        <v>21</v>
      </c>
      <c r="I332" t="s">
        <v>34</v>
      </c>
      <c r="J332">
        <v>3</v>
      </c>
      <c r="K332">
        <v>256.72000000000003</v>
      </c>
      <c r="L332" s="3">
        <v>770.16</v>
      </c>
      <c r="M332" t="s">
        <v>35</v>
      </c>
    </row>
    <row r="333" spans="1:13" x14ac:dyDescent="0.25">
      <c r="A333" s="1">
        <v>44714</v>
      </c>
      <c r="B333" s="1" t="str">
        <f t="shared" si="10"/>
        <v>Thursday</v>
      </c>
      <c r="C333" s="1" t="str">
        <f t="shared" si="11"/>
        <v>June</v>
      </c>
      <c r="D333" t="s">
        <v>24</v>
      </c>
      <c r="E333" t="s">
        <v>19</v>
      </c>
      <c r="F333" t="s">
        <v>25</v>
      </c>
      <c r="G333" t="s">
        <v>30</v>
      </c>
      <c r="H333" t="s">
        <v>15</v>
      </c>
      <c r="I333" t="s">
        <v>34</v>
      </c>
      <c r="J333">
        <v>4</v>
      </c>
      <c r="K333">
        <v>205.64</v>
      </c>
      <c r="L333" s="3">
        <v>822.56</v>
      </c>
      <c r="M333" t="s">
        <v>36</v>
      </c>
    </row>
    <row r="334" spans="1:13" x14ac:dyDescent="0.25">
      <c r="A334" s="1">
        <v>44710</v>
      </c>
      <c r="B334" s="1" t="str">
        <f t="shared" si="10"/>
        <v>Sunday</v>
      </c>
      <c r="C334" s="1" t="str">
        <f t="shared" si="11"/>
        <v>May</v>
      </c>
      <c r="D334" t="s">
        <v>37</v>
      </c>
      <c r="E334" t="s">
        <v>29</v>
      </c>
      <c r="F334" t="s">
        <v>38</v>
      </c>
      <c r="G334" t="s">
        <v>30</v>
      </c>
      <c r="H334" t="s">
        <v>21</v>
      </c>
      <c r="I334" t="s">
        <v>27</v>
      </c>
      <c r="J334">
        <v>4</v>
      </c>
      <c r="K334">
        <v>68.180000000000007</v>
      </c>
      <c r="L334" s="3">
        <v>272.72000000000003</v>
      </c>
      <c r="M334" t="s">
        <v>23</v>
      </c>
    </row>
    <row r="335" spans="1:13" x14ac:dyDescent="0.25">
      <c r="A335" s="1">
        <v>44641</v>
      </c>
      <c r="B335" s="1" t="str">
        <f t="shared" si="10"/>
        <v>Monday</v>
      </c>
      <c r="C335" s="1" t="str">
        <f t="shared" si="11"/>
        <v>March</v>
      </c>
      <c r="D335" t="s">
        <v>45</v>
      </c>
      <c r="E335" t="s">
        <v>46</v>
      </c>
      <c r="F335" t="s">
        <v>47</v>
      </c>
      <c r="G335" t="s">
        <v>30</v>
      </c>
      <c r="H335" t="s">
        <v>15</v>
      </c>
      <c r="I335" t="s">
        <v>33</v>
      </c>
      <c r="J335">
        <v>4</v>
      </c>
      <c r="K335">
        <v>68.97</v>
      </c>
      <c r="L335" s="3">
        <v>275.88</v>
      </c>
      <c r="M335" t="s">
        <v>17</v>
      </c>
    </row>
    <row r="336" spans="1:13" x14ac:dyDescent="0.25">
      <c r="A336" s="1">
        <v>44718</v>
      </c>
      <c r="B336" s="1" t="str">
        <f t="shared" si="10"/>
        <v>Monday</v>
      </c>
      <c r="C336" s="1" t="str">
        <f t="shared" si="11"/>
        <v>June</v>
      </c>
      <c r="D336" t="s">
        <v>28</v>
      </c>
      <c r="E336" t="s">
        <v>29</v>
      </c>
      <c r="F336" t="s">
        <v>25</v>
      </c>
      <c r="G336" t="s">
        <v>14</v>
      </c>
      <c r="H336" t="s">
        <v>15</v>
      </c>
      <c r="I336" t="s">
        <v>27</v>
      </c>
      <c r="J336">
        <v>5</v>
      </c>
      <c r="K336">
        <v>123.23</v>
      </c>
      <c r="L336" s="3">
        <v>616.15</v>
      </c>
      <c r="M336" t="s">
        <v>36</v>
      </c>
    </row>
    <row r="337" spans="1:13" x14ac:dyDescent="0.25">
      <c r="A337" s="1">
        <v>44797</v>
      </c>
      <c r="B337" s="1" t="str">
        <f t="shared" si="10"/>
        <v>Wednesday</v>
      </c>
      <c r="C337" s="1" t="str">
        <f t="shared" si="11"/>
        <v>August</v>
      </c>
      <c r="D337" t="s">
        <v>24</v>
      </c>
      <c r="E337" t="s">
        <v>19</v>
      </c>
      <c r="F337" t="s">
        <v>25</v>
      </c>
      <c r="G337" t="s">
        <v>26</v>
      </c>
      <c r="H337" t="s">
        <v>21</v>
      </c>
      <c r="I337" t="s">
        <v>33</v>
      </c>
      <c r="J337">
        <v>5</v>
      </c>
      <c r="K337">
        <v>273</v>
      </c>
      <c r="L337" s="3">
        <v>1365</v>
      </c>
      <c r="M337" t="s">
        <v>17</v>
      </c>
    </row>
    <row r="338" spans="1:13" x14ac:dyDescent="0.25">
      <c r="A338" s="1">
        <v>44602</v>
      </c>
      <c r="B338" s="1" t="str">
        <f t="shared" si="10"/>
        <v>Thursday</v>
      </c>
      <c r="C338" s="1" t="str">
        <f t="shared" si="11"/>
        <v>February</v>
      </c>
      <c r="D338" t="s">
        <v>18</v>
      </c>
      <c r="E338" t="s">
        <v>19</v>
      </c>
      <c r="F338" t="s">
        <v>20</v>
      </c>
      <c r="G338" t="s">
        <v>26</v>
      </c>
      <c r="H338" t="s">
        <v>32</v>
      </c>
      <c r="I338" t="s">
        <v>39</v>
      </c>
      <c r="J338">
        <v>3</v>
      </c>
      <c r="K338">
        <v>225.84</v>
      </c>
      <c r="L338" s="3">
        <v>677.52</v>
      </c>
      <c r="M338" t="s">
        <v>17</v>
      </c>
    </row>
    <row r="339" spans="1:13" x14ac:dyDescent="0.25">
      <c r="A339" s="1">
        <v>44621</v>
      </c>
      <c r="B339" s="1" t="str">
        <f t="shared" si="10"/>
        <v>Tuesday</v>
      </c>
      <c r="C339" s="1" t="str">
        <f t="shared" si="11"/>
        <v>March</v>
      </c>
      <c r="D339" t="s">
        <v>31</v>
      </c>
      <c r="E339" t="s">
        <v>19</v>
      </c>
      <c r="F339" t="s">
        <v>25</v>
      </c>
      <c r="G339" t="s">
        <v>26</v>
      </c>
      <c r="H339" t="s">
        <v>40</v>
      </c>
      <c r="I339" t="s">
        <v>39</v>
      </c>
      <c r="J339">
        <v>3</v>
      </c>
      <c r="K339">
        <v>235.36</v>
      </c>
      <c r="L339" s="3">
        <v>706.08</v>
      </c>
      <c r="M339" t="s">
        <v>36</v>
      </c>
    </row>
    <row r="340" spans="1:13" x14ac:dyDescent="0.25">
      <c r="A340" s="1">
        <v>44637</v>
      </c>
      <c r="B340" s="1" t="str">
        <f t="shared" si="10"/>
        <v>Thursday</v>
      </c>
      <c r="C340" s="1" t="str">
        <f t="shared" si="11"/>
        <v>March</v>
      </c>
      <c r="D340" t="s">
        <v>18</v>
      </c>
      <c r="E340" t="s">
        <v>19</v>
      </c>
      <c r="F340" t="s">
        <v>20</v>
      </c>
      <c r="G340" t="s">
        <v>26</v>
      </c>
      <c r="H340" t="s">
        <v>40</v>
      </c>
      <c r="I340" t="s">
        <v>43</v>
      </c>
      <c r="J340">
        <v>5</v>
      </c>
      <c r="K340">
        <v>189.94</v>
      </c>
      <c r="L340" s="3">
        <v>949.7</v>
      </c>
      <c r="M340" t="s">
        <v>23</v>
      </c>
    </row>
    <row r="341" spans="1:13" x14ac:dyDescent="0.25">
      <c r="A341" s="1">
        <v>44564</v>
      </c>
      <c r="B341" s="1" t="str">
        <f t="shared" si="10"/>
        <v>Monday</v>
      </c>
      <c r="C341" s="1" t="str">
        <f t="shared" si="11"/>
        <v>January</v>
      </c>
      <c r="D341" t="s">
        <v>37</v>
      </c>
      <c r="E341" t="s">
        <v>29</v>
      </c>
      <c r="F341" t="s">
        <v>38</v>
      </c>
      <c r="G341" t="s">
        <v>26</v>
      </c>
      <c r="H341" t="s">
        <v>32</v>
      </c>
      <c r="I341" t="s">
        <v>22</v>
      </c>
      <c r="J341">
        <v>3</v>
      </c>
      <c r="K341">
        <v>110.2</v>
      </c>
      <c r="L341" s="3">
        <v>330.6</v>
      </c>
      <c r="M341" t="s">
        <v>17</v>
      </c>
    </row>
    <row r="342" spans="1:13" x14ac:dyDescent="0.25">
      <c r="A342" s="1">
        <v>44741</v>
      </c>
      <c r="B342" s="1" t="str">
        <f t="shared" si="10"/>
        <v>Wednesday</v>
      </c>
      <c r="C342" s="1" t="str">
        <f t="shared" si="11"/>
        <v>June</v>
      </c>
      <c r="D342" t="s">
        <v>37</v>
      </c>
      <c r="E342" t="s">
        <v>29</v>
      </c>
      <c r="F342" t="s">
        <v>38</v>
      </c>
      <c r="G342" t="s">
        <v>14</v>
      </c>
      <c r="H342" t="s">
        <v>40</v>
      </c>
      <c r="I342" t="s">
        <v>27</v>
      </c>
      <c r="J342">
        <v>2</v>
      </c>
      <c r="K342">
        <v>54.76</v>
      </c>
      <c r="L342" s="3">
        <v>109.52</v>
      </c>
      <c r="M342" t="s">
        <v>36</v>
      </c>
    </row>
    <row r="343" spans="1:13" x14ac:dyDescent="0.25">
      <c r="A343" s="1">
        <v>44714</v>
      </c>
      <c r="B343" s="1" t="str">
        <f t="shared" si="10"/>
        <v>Thursday</v>
      </c>
      <c r="C343" s="1" t="str">
        <f t="shared" si="11"/>
        <v>June</v>
      </c>
      <c r="D343" t="s">
        <v>41</v>
      </c>
      <c r="E343" t="s">
        <v>29</v>
      </c>
      <c r="F343" t="s">
        <v>42</v>
      </c>
      <c r="G343" t="s">
        <v>26</v>
      </c>
      <c r="H343" t="s">
        <v>40</v>
      </c>
      <c r="I343" t="s">
        <v>33</v>
      </c>
      <c r="J343">
        <v>1</v>
      </c>
      <c r="K343">
        <v>296.56</v>
      </c>
      <c r="L343" s="3">
        <v>296.56</v>
      </c>
      <c r="M343" t="s">
        <v>35</v>
      </c>
    </row>
    <row r="344" spans="1:13" x14ac:dyDescent="0.25">
      <c r="A344" s="1">
        <v>44716</v>
      </c>
      <c r="B344" s="1" t="str">
        <f t="shared" si="10"/>
        <v>Saturday</v>
      </c>
      <c r="C344" s="1" t="str">
        <f t="shared" si="11"/>
        <v>June</v>
      </c>
      <c r="D344" t="s">
        <v>18</v>
      </c>
      <c r="E344" t="s">
        <v>19</v>
      </c>
      <c r="F344" t="s">
        <v>20</v>
      </c>
      <c r="G344" t="s">
        <v>26</v>
      </c>
      <c r="H344" t="s">
        <v>40</v>
      </c>
      <c r="I344" t="s">
        <v>33</v>
      </c>
      <c r="J344">
        <v>1</v>
      </c>
      <c r="K344">
        <v>296.51</v>
      </c>
      <c r="L344" s="3">
        <v>296.51</v>
      </c>
      <c r="M344" t="s">
        <v>36</v>
      </c>
    </row>
    <row r="345" spans="1:13" x14ac:dyDescent="0.25">
      <c r="A345" s="1">
        <v>44654</v>
      </c>
      <c r="B345" s="1" t="str">
        <f t="shared" si="10"/>
        <v>Sunday</v>
      </c>
      <c r="C345" s="1" t="str">
        <f t="shared" si="11"/>
        <v>April</v>
      </c>
      <c r="D345" t="s">
        <v>48</v>
      </c>
      <c r="E345" t="s">
        <v>49</v>
      </c>
      <c r="F345" t="s">
        <v>50</v>
      </c>
      <c r="G345" t="s">
        <v>30</v>
      </c>
      <c r="H345" t="s">
        <v>32</v>
      </c>
      <c r="I345" t="s">
        <v>43</v>
      </c>
      <c r="J345">
        <v>1</v>
      </c>
      <c r="K345">
        <v>89.5</v>
      </c>
      <c r="L345" s="3">
        <v>89.5</v>
      </c>
      <c r="M345" t="s">
        <v>35</v>
      </c>
    </row>
    <row r="346" spans="1:13" x14ac:dyDescent="0.25">
      <c r="A346" s="1">
        <v>44636</v>
      </c>
      <c r="B346" s="1" t="str">
        <f t="shared" si="10"/>
        <v>Wednesday</v>
      </c>
      <c r="C346" s="1" t="str">
        <f t="shared" si="11"/>
        <v>March</v>
      </c>
      <c r="D346" t="s">
        <v>18</v>
      </c>
      <c r="E346" t="s">
        <v>19</v>
      </c>
      <c r="F346" t="s">
        <v>20</v>
      </c>
      <c r="G346" t="s">
        <v>14</v>
      </c>
      <c r="H346" t="s">
        <v>32</v>
      </c>
      <c r="I346" t="s">
        <v>34</v>
      </c>
      <c r="J346">
        <v>3</v>
      </c>
      <c r="K346">
        <v>280.64</v>
      </c>
      <c r="L346" s="3">
        <v>841.92</v>
      </c>
      <c r="M346" t="s">
        <v>17</v>
      </c>
    </row>
    <row r="347" spans="1:13" x14ac:dyDescent="0.25">
      <c r="A347" s="1">
        <v>44607</v>
      </c>
      <c r="B347" s="1" t="str">
        <f t="shared" si="10"/>
        <v>Tuesday</v>
      </c>
      <c r="C347" s="1" t="str">
        <f t="shared" si="11"/>
        <v>February</v>
      </c>
      <c r="D347" t="s">
        <v>28</v>
      </c>
      <c r="E347" t="s">
        <v>29</v>
      </c>
      <c r="F347" t="s">
        <v>25</v>
      </c>
      <c r="G347" t="s">
        <v>26</v>
      </c>
      <c r="H347" t="s">
        <v>21</v>
      </c>
      <c r="I347" t="s">
        <v>39</v>
      </c>
      <c r="J347">
        <v>5</v>
      </c>
      <c r="K347">
        <v>234.28</v>
      </c>
      <c r="L347" s="3">
        <v>1171.4000000000001</v>
      </c>
      <c r="M347" t="s">
        <v>23</v>
      </c>
    </row>
    <row r="348" spans="1:13" x14ac:dyDescent="0.25">
      <c r="A348" s="1">
        <v>44562</v>
      </c>
      <c r="B348" s="1" t="str">
        <f t="shared" si="10"/>
        <v>Saturday</v>
      </c>
      <c r="C348" s="1" t="str">
        <f t="shared" si="11"/>
        <v>January</v>
      </c>
      <c r="D348" t="s">
        <v>24</v>
      </c>
      <c r="E348" t="s">
        <v>19</v>
      </c>
      <c r="F348" t="s">
        <v>25</v>
      </c>
      <c r="G348" t="s">
        <v>26</v>
      </c>
      <c r="H348" t="s">
        <v>21</v>
      </c>
      <c r="I348" t="s">
        <v>16</v>
      </c>
      <c r="J348">
        <v>2</v>
      </c>
      <c r="K348">
        <v>294.89</v>
      </c>
      <c r="L348" s="3">
        <v>589.78</v>
      </c>
      <c r="M348" t="s">
        <v>36</v>
      </c>
    </row>
    <row r="349" spans="1:13" x14ac:dyDescent="0.25">
      <c r="A349" s="1">
        <v>44630</v>
      </c>
      <c r="B349" s="1" t="str">
        <f t="shared" si="10"/>
        <v>Thursday</v>
      </c>
      <c r="C349" s="1" t="str">
        <f t="shared" si="11"/>
        <v>March</v>
      </c>
      <c r="D349" t="s">
        <v>31</v>
      </c>
      <c r="E349" t="s">
        <v>19</v>
      </c>
      <c r="F349" t="s">
        <v>25</v>
      </c>
      <c r="G349" t="s">
        <v>26</v>
      </c>
      <c r="H349" t="s">
        <v>40</v>
      </c>
      <c r="I349" t="s">
        <v>22</v>
      </c>
      <c r="J349">
        <v>1</v>
      </c>
      <c r="K349">
        <v>208.24</v>
      </c>
      <c r="L349" s="3">
        <v>208.24</v>
      </c>
      <c r="M349" t="s">
        <v>23</v>
      </c>
    </row>
    <row r="350" spans="1:13" x14ac:dyDescent="0.25">
      <c r="A350" s="1">
        <v>44659</v>
      </c>
      <c r="B350" s="1" t="str">
        <f t="shared" si="10"/>
        <v>Friday</v>
      </c>
      <c r="C350" s="1" t="str">
        <f t="shared" si="11"/>
        <v>April</v>
      </c>
      <c r="D350" t="s">
        <v>31</v>
      </c>
      <c r="E350" t="s">
        <v>19</v>
      </c>
      <c r="F350" t="s">
        <v>25</v>
      </c>
      <c r="G350" t="s">
        <v>30</v>
      </c>
      <c r="H350" t="s">
        <v>32</v>
      </c>
      <c r="I350" t="s">
        <v>43</v>
      </c>
      <c r="J350">
        <v>5</v>
      </c>
      <c r="K350">
        <v>94.25</v>
      </c>
      <c r="L350" s="3">
        <v>471.25</v>
      </c>
      <c r="M350" t="s">
        <v>36</v>
      </c>
    </row>
    <row r="351" spans="1:13" x14ac:dyDescent="0.25">
      <c r="A351" s="1">
        <v>44776</v>
      </c>
      <c r="B351" s="1" t="str">
        <f t="shared" si="10"/>
        <v>Wednesday</v>
      </c>
      <c r="C351" s="1" t="str">
        <f t="shared" si="11"/>
        <v>August</v>
      </c>
      <c r="D351" t="s">
        <v>28</v>
      </c>
      <c r="E351" t="s">
        <v>29</v>
      </c>
      <c r="F351" t="s">
        <v>25</v>
      </c>
      <c r="G351" t="s">
        <v>26</v>
      </c>
      <c r="H351" t="s">
        <v>32</v>
      </c>
      <c r="I351" t="s">
        <v>27</v>
      </c>
      <c r="J351">
        <v>5</v>
      </c>
      <c r="K351">
        <v>259</v>
      </c>
      <c r="L351" s="3">
        <v>1295</v>
      </c>
      <c r="M351" t="s">
        <v>17</v>
      </c>
    </row>
    <row r="352" spans="1:13" x14ac:dyDescent="0.25">
      <c r="A352" s="1">
        <v>44686</v>
      </c>
      <c r="B352" s="1" t="str">
        <f t="shared" si="10"/>
        <v>Thursday</v>
      </c>
      <c r="C352" s="1" t="str">
        <f t="shared" si="11"/>
        <v>May</v>
      </c>
      <c r="D352" t="s">
        <v>48</v>
      </c>
      <c r="E352" t="s">
        <v>49</v>
      </c>
      <c r="F352" t="s">
        <v>50</v>
      </c>
      <c r="G352" t="s">
        <v>26</v>
      </c>
      <c r="H352" t="s">
        <v>32</v>
      </c>
      <c r="I352" t="s">
        <v>27</v>
      </c>
      <c r="J352">
        <v>4</v>
      </c>
      <c r="K352">
        <v>299.73</v>
      </c>
      <c r="L352" s="3">
        <v>1198.92</v>
      </c>
      <c r="M352" t="s">
        <v>23</v>
      </c>
    </row>
    <row r="353" spans="1:13" x14ac:dyDescent="0.25">
      <c r="A353" s="1">
        <v>44700</v>
      </c>
      <c r="B353" s="1" t="str">
        <f t="shared" si="10"/>
        <v>Thursday</v>
      </c>
      <c r="C353" s="1" t="str">
        <f t="shared" si="11"/>
        <v>May</v>
      </c>
      <c r="D353" t="s">
        <v>44</v>
      </c>
      <c r="E353" t="s">
        <v>19</v>
      </c>
      <c r="F353" t="s">
        <v>20</v>
      </c>
      <c r="G353" t="s">
        <v>30</v>
      </c>
      <c r="H353" t="s">
        <v>32</v>
      </c>
      <c r="I353" t="s">
        <v>39</v>
      </c>
      <c r="J353">
        <v>5</v>
      </c>
      <c r="K353">
        <v>71.260000000000005</v>
      </c>
      <c r="L353" s="3">
        <v>356.3</v>
      </c>
      <c r="M353" t="s">
        <v>23</v>
      </c>
    </row>
    <row r="354" spans="1:13" x14ac:dyDescent="0.25">
      <c r="A354" s="1">
        <v>44759</v>
      </c>
      <c r="B354" s="1" t="str">
        <f t="shared" si="10"/>
        <v>Sunday</v>
      </c>
      <c r="C354" s="1" t="str">
        <f t="shared" si="11"/>
        <v>July</v>
      </c>
      <c r="D354" t="s">
        <v>24</v>
      </c>
      <c r="E354" t="s">
        <v>19</v>
      </c>
      <c r="F354" t="s">
        <v>25</v>
      </c>
      <c r="G354" t="s">
        <v>26</v>
      </c>
      <c r="H354" t="s">
        <v>15</v>
      </c>
      <c r="I354" t="s">
        <v>16</v>
      </c>
      <c r="J354">
        <v>5</v>
      </c>
      <c r="K354">
        <v>270.14</v>
      </c>
      <c r="L354" s="3">
        <v>1350.7</v>
      </c>
      <c r="M354" t="s">
        <v>36</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10C87-BAE0-4CD4-AEA5-3531FF7CC081}">
  <dimension ref="A3:L53"/>
  <sheetViews>
    <sheetView workbookViewId="0">
      <selection activeCell="J12" sqref="J12"/>
    </sheetView>
  </sheetViews>
  <sheetFormatPr defaultRowHeight="15" x14ac:dyDescent="0.25"/>
  <cols>
    <col min="1" max="1" width="18.140625" bestFit="1" customWidth="1"/>
    <col min="2" max="2" width="13.140625" bestFit="1" customWidth="1"/>
    <col min="3" max="3" width="13.85546875" bestFit="1" customWidth="1"/>
    <col min="4" max="4" width="11.28515625" bestFit="1" customWidth="1"/>
    <col min="5" max="5" width="10" bestFit="1" customWidth="1"/>
    <col min="6" max="6" width="24.28515625" bestFit="1" customWidth="1"/>
    <col min="7" max="7" width="18.5703125" bestFit="1" customWidth="1"/>
    <col min="8" max="8" width="24.42578125" bestFit="1" customWidth="1"/>
    <col min="9" max="9" width="13.140625" bestFit="1" customWidth="1"/>
    <col min="10" max="10" width="18.5703125" bestFit="1" customWidth="1"/>
    <col min="11" max="11" width="13.140625" bestFit="1" customWidth="1"/>
    <col min="12" max="12" width="8.85546875" bestFit="1" customWidth="1"/>
    <col min="13" max="13" width="11.28515625" bestFit="1" customWidth="1"/>
    <col min="14" max="14" width="13.85546875" bestFit="1" customWidth="1"/>
  </cols>
  <sheetData>
    <row r="3" spans="1:9" x14ac:dyDescent="0.25">
      <c r="A3" t="s">
        <v>53</v>
      </c>
      <c r="C3" t="s">
        <v>54</v>
      </c>
      <c r="E3" s="2" t="s">
        <v>1</v>
      </c>
      <c r="F3" s="4" t="s">
        <v>64</v>
      </c>
      <c r="H3" s="2" t="s">
        <v>1</v>
      </c>
      <c r="I3" s="8" t="s">
        <v>63</v>
      </c>
    </row>
    <row r="4" spans="1:9" x14ac:dyDescent="0.25">
      <c r="A4" s="6">
        <v>1097</v>
      </c>
      <c r="C4" s="5">
        <v>193103.06999999989</v>
      </c>
      <c r="E4" s="7" t="s">
        <v>37</v>
      </c>
      <c r="F4" s="10">
        <v>24214.82</v>
      </c>
      <c r="H4" s="7" t="s">
        <v>37</v>
      </c>
      <c r="I4" s="9">
        <v>143</v>
      </c>
    </row>
    <row r="5" spans="1:9" x14ac:dyDescent="0.25">
      <c r="E5" s="7" t="s">
        <v>24</v>
      </c>
      <c r="F5" s="10">
        <v>23634.39</v>
      </c>
      <c r="H5" s="7" t="s">
        <v>28</v>
      </c>
      <c r="I5" s="9">
        <v>140</v>
      </c>
    </row>
    <row r="6" spans="1:9" x14ac:dyDescent="0.25">
      <c r="E6" s="7" t="s">
        <v>28</v>
      </c>
      <c r="F6" s="10">
        <v>23247.120000000006</v>
      </c>
      <c r="H6" s="7" t="s">
        <v>18</v>
      </c>
      <c r="I6" s="9">
        <v>119</v>
      </c>
    </row>
    <row r="7" spans="1:9" x14ac:dyDescent="0.25">
      <c r="A7" s="2" t="s">
        <v>68</v>
      </c>
      <c r="B7" t="s">
        <v>64</v>
      </c>
      <c r="E7" s="7" t="s">
        <v>18</v>
      </c>
      <c r="F7" s="10">
        <v>21658.649999999994</v>
      </c>
      <c r="H7" s="7" t="s">
        <v>48</v>
      </c>
      <c r="I7" s="9">
        <v>116</v>
      </c>
    </row>
    <row r="8" spans="1:9" x14ac:dyDescent="0.25">
      <c r="A8" s="7" t="s">
        <v>25</v>
      </c>
      <c r="B8" s="5">
        <v>67975.58</v>
      </c>
      <c r="E8" s="7" t="s">
        <v>48</v>
      </c>
      <c r="F8" s="10">
        <v>21342.019999999997</v>
      </c>
      <c r="H8" s="7" t="s">
        <v>31</v>
      </c>
      <c r="I8" s="9">
        <v>113</v>
      </c>
    </row>
    <row r="9" spans="1:9" x14ac:dyDescent="0.25">
      <c r="A9" s="7" t="s">
        <v>20</v>
      </c>
      <c r="B9" s="5">
        <v>36858.43</v>
      </c>
      <c r="E9" s="7" t="s">
        <v>31</v>
      </c>
      <c r="F9" s="10">
        <v>21094.070000000003</v>
      </c>
      <c r="H9" s="7" t="s">
        <v>24</v>
      </c>
      <c r="I9" s="9">
        <v>112</v>
      </c>
    </row>
    <row r="10" spans="1:9" x14ac:dyDescent="0.25">
      <c r="A10" s="7" t="s">
        <v>38</v>
      </c>
      <c r="B10" s="5">
        <v>24214.82</v>
      </c>
      <c r="E10" s="7" t="s">
        <v>41</v>
      </c>
      <c r="F10" s="10">
        <v>15647.51</v>
      </c>
      <c r="H10" s="7" t="s">
        <v>41</v>
      </c>
      <c r="I10" s="9">
        <v>95</v>
      </c>
    </row>
    <row r="11" spans="1:9" x14ac:dyDescent="0.25">
      <c r="A11" s="7" t="s">
        <v>50</v>
      </c>
      <c r="B11" s="5">
        <v>21342.019999999997</v>
      </c>
      <c r="E11" s="7" t="s">
        <v>44</v>
      </c>
      <c r="F11" s="10">
        <v>15199.78</v>
      </c>
      <c r="H11" s="7" t="s">
        <v>44</v>
      </c>
      <c r="I11" s="9">
        <v>91</v>
      </c>
    </row>
    <row r="12" spans="1:9" x14ac:dyDescent="0.25">
      <c r="A12" s="7" t="s">
        <v>42</v>
      </c>
      <c r="B12" s="5">
        <v>15647.51</v>
      </c>
      <c r="E12" s="7" t="s">
        <v>45</v>
      </c>
      <c r="F12" s="10">
        <v>13915.46</v>
      </c>
      <c r="H12" s="7" t="s">
        <v>45</v>
      </c>
      <c r="I12" s="9">
        <v>88</v>
      </c>
    </row>
    <row r="13" spans="1:9" x14ac:dyDescent="0.25">
      <c r="A13" s="7" t="s">
        <v>47</v>
      </c>
      <c r="B13" s="5">
        <v>13915.46</v>
      </c>
      <c r="E13" s="7" t="s">
        <v>11</v>
      </c>
      <c r="F13" s="10">
        <v>13149.249999999996</v>
      </c>
      <c r="H13" s="7" t="s">
        <v>11</v>
      </c>
      <c r="I13" s="9">
        <v>80</v>
      </c>
    </row>
    <row r="14" spans="1:9" x14ac:dyDescent="0.25">
      <c r="A14" s="7" t="s">
        <v>13</v>
      </c>
      <c r="B14" s="5">
        <v>13149.249999999996</v>
      </c>
      <c r="E14" s="7" t="s">
        <v>55</v>
      </c>
      <c r="F14" s="10">
        <v>193103.07</v>
      </c>
      <c r="H14" s="7" t="s">
        <v>55</v>
      </c>
      <c r="I14" s="9">
        <v>1097</v>
      </c>
    </row>
    <row r="15" spans="1:9" x14ac:dyDescent="0.25">
      <c r="A15" s="7" t="s">
        <v>55</v>
      </c>
      <c r="B15" s="5">
        <v>193103.07</v>
      </c>
    </row>
    <row r="18" spans="1:11" x14ac:dyDescent="0.25">
      <c r="A18" s="2" t="s">
        <v>68</v>
      </c>
      <c r="B18" t="s">
        <v>63</v>
      </c>
      <c r="D18" s="2" t="s">
        <v>10</v>
      </c>
      <c r="E18" t="s">
        <v>64</v>
      </c>
      <c r="G18" s="2" t="s">
        <v>4</v>
      </c>
      <c r="H18" t="s">
        <v>63</v>
      </c>
      <c r="J18" s="2" t="s">
        <v>4</v>
      </c>
      <c r="K18" t="s">
        <v>64</v>
      </c>
    </row>
    <row r="19" spans="1:11" x14ac:dyDescent="0.25">
      <c r="A19" s="7" t="s">
        <v>25</v>
      </c>
      <c r="B19" s="9">
        <v>365</v>
      </c>
      <c r="D19" s="7" t="s">
        <v>36</v>
      </c>
      <c r="E19" s="5">
        <v>54540.150000000009</v>
      </c>
      <c r="G19" s="7" t="s">
        <v>26</v>
      </c>
      <c r="H19" s="9">
        <v>417</v>
      </c>
      <c r="J19" s="7" t="s">
        <v>26</v>
      </c>
      <c r="K19" s="5">
        <v>78150.780000000013</v>
      </c>
    </row>
    <row r="20" spans="1:11" x14ac:dyDescent="0.25">
      <c r="A20" s="7" t="s">
        <v>20</v>
      </c>
      <c r="B20" s="9">
        <v>210</v>
      </c>
      <c r="D20" s="7" t="s">
        <v>17</v>
      </c>
      <c r="E20" s="5">
        <v>53820.119999999988</v>
      </c>
      <c r="G20" s="7" t="s">
        <v>30</v>
      </c>
      <c r="H20" s="9">
        <v>408</v>
      </c>
      <c r="J20" s="7" t="s">
        <v>30</v>
      </c>
      <c r="K20" s="5">
        <v>68502.160000000018</v>
      </c>
    </row>
    <row r="21" spans="1:11" x14ac:dyDescent="0.25">
      <c r="A21" s="7" t="s">
        <v>38</v>
      </c>
      <c r="B21" s="9">
        <v>143</v>
      </c>
      <c r="D21" s="7" t="s">
        <v>23</v>
      </c>
      <c r="E21" s="5">
        <v>48431.609999999993</v>
      </c>
      <c r="G21" s="7" t="s">
        <v>14</v>
      </c>
      <c r="H21" s="9">
        <v>272</v>
      </c>
      <c r="J21" s="7" t="s">
        <v>14</v>
      </c>
      <c r="K21" s="5">
        <v>46450.12999999999</v>
      </c>
    </row>
    <row r="22" spans="1:11" x14ac:dyDescent="0.25">
      <c r="A22" s="7" t="s">
        <v>50</v>
      </c>
      <c r="B22" s="9">
        <v>116</v>
      </c>
      <c r="D22" s="7" t="s">
        <v>35</v>
      </c>
      <c r="E22" s="5">
        <v>36311.19</v>
      </c>
      <c r="G22" s="7" t="s">
        <v>55</v>
      </c>
      <c r="H22" s="9">
        <v>1097</v>
      </c>
      <c r="J22" s="7" t="s">
        <v>55</v>
      </c>
      <c r="K22" s="5">
        <v>193103.07</v>
      </c>
    </row>
    <row r="23" spans="1:11" x14ac:dyDescent="0.25">
      <c r="A23" s="7" t="s">
        <v>42</v>
      </c>
      <c r="B23" s="9">
        <v>95</v>
      </c>
      <c r="D23" s="7" t="s">
        <v>55</v>
      </c>
      <c r="E23" s="5">
        <v>193103.07</v>
      </c>
    </row>
    <row r="24" spans="1:11" x14ac:dyDescent="0.25">
      <c r="A24" s="7" t="s">
        <v>47</v>
      </c>
      <c r="B24" s="9">
        <v>88</v>
      </c>
    </row>
    <row r="25" spans="1:11" x14ac:dyDescent="0.25">
      <c r="A25" s="7" t="s">
        <v>13</v>
      </c>
      <c r="B25" s="9">
        <v>80</v>
      </c>
    </row>
    <row r="26" spans="1:11" x14ac:dyDescent="0.25">
      <c r="A26" s="7" t="s">
        <v>55</v>
      </c>
      <c r="B26" s="9">
        <v>1097</v>
      </c>
      <c r="D26" s="2" t="s">
        <v>2</v>
      </c>
      <c r="E26" t="s">
        <v>64</v>
      </c>
      <c r="G26" s="2" t="s">
        <v>65</v>
      </c>
      <c r="H26" t="s">
        <v>64</v>
      </c>
      <c r="J26" s="2" t="s">
        <v>65</v>
      </c>
      <c r="K26" t="s">
        <v>63</v>
      </c>
    </row>
    <row r="27" spans="1:11" x14ac:dyDescent="0.25">
      <c r="D27" s="7" t="s">
        <v>19</v>
      </c>
      <c r="E27" s="5">
        <v>81586.890000000029</v>
      </c>
      <c r="G27" s="7" t="s">
        <v>32</v>
      </c>
      <c r="H27" s="5">
        <v>54378.619999999988</v>
      </c>
      <c r="J27" s="7" t="s">
        <v>32</v>
      </c>
      <c r="K27" s="9">
        <v>301</v>
      </c>
    </row>
    <row r="28" spans="1:11" x14ac:dyDescent="0.25">
      <c r="D28" s="7" t="s">
        <v>29</v>
      </c>
      <c r="E28" s="5">
        <v>63109.44999999999</v>
      </c>
      <c r="G28" s="7" t="s">
        <v>21</v>
      </c>
      <c r="H28" s="5">
        <v>53725.120000000017</v>
      </c>
      <c r="J28" s="7" t="s">
        <v>21</v>
      </c>
      <c r="K28" s="9">
        <v>294</v>
      </c>
    </row>
    <row r="29" spans="1:11" x14ac:dyDescent="0.25">
      <c r="A29" s="2" t="s">
        <v>2</v>
      </c>
      <c r="B29" t="s">
        <v>63</v>
      </c>
      <c r="D29" s="7" t="s">
        <v>49</v>
      </c>
      <c r="E29" s="5">
        <v>21342.019999999997</v>
      </c>
      <c r="G29" s="7" t="s">
        <v>15</v>
      </c>
      <c r="H29" s="5">
        <v>45297.499999999993</v>
      </c>
      <c r="J29" s="7" t="s">
        <v>15</v>
      </c>
      <c r="K29" s="9">
        <v>265</v>
      </c>
    </row>
    <row r="30" spans="1:11" x14ac:dyDescent="0.25">
      <c r="A30" s="7" t="s">
        <v>19</v>
      </c>
      <c r="B30" s="9">
        <v>435</v>
      </c>
      <c r="D30" s="7" t="s">
        <v>46</v>
      </c>
      <c r="E30" s="5">
        <v>13915.46</v>
      </c>
      <c r="G30" s="7" t="s">
        <v>40</v>
      </c>
      <c r="H30" s="5">
        <v>39701.829999999994</v>
      </c>
      <c r="J30" s="7" t="s">
        <v>40</v>
      </c>
      <c r="K30" s="9">
        <v>237</v>
      </c>
    </row>
    <row r="31" spans="1:11" x14ac:dyDescent="0.25">
      <c r="A31" s="7" t="s">
        <v>29</v>
      </c>
      <c r="B31" s="9">
        <v>378</v>
      </c>
      <c r="D31" s="7" t="s">
        <v>12</v>
      </c>
      <c r="E31" s="5">
        <v>13149.249999999996</v>
      </c>
      <c r="G31" s="7" t="s">
        <v>55</v>
      </c>
      <c r="H31" s="5">
        <v>193103.07</v>
      </c>
      <c r="J31" s="7" t="s">
        <v>55</v>
      </c>
      <c r="K31" s="9">
        <v>1097</v>
      </c>
    </row>
    <row r="32" spans="1:11" x14ac:dyDescent="0.25">
      <c r="A32" s="7" t="s">
        <v>49</v>
      </c>
      <c r="B32" s="9">
        <v>116</v>
      </c>
      <c r="D32" s="7" t="s">
        <v>55</v>
      </c>
      <c r="E32" s="5">
        <v>193103.07</v>
      </c>
    </row>
    <row r="33" spans="1:12" x14ac:dyDescent="0.25">
      <c r="A33" s="7" t="s">
        <v>46</v>
      </c>
      <c r="B33" s="9">
        <v>88</v>
      </c>
    </row>
    <row r="34" spans="1:12" x14ac:dyDescent="0.25">
      <c r="A34" s="7" t="s">
        <v>12</v>
      </c>
      <c r="B34" s="9">
        <v>80</v>
      </c>
    </row>
    <row r="35" spans="1:12" x14ac:dyDescent="0.25">
      <c r="A35" s="7" t="s">
        <v>55</v>
      </c>
      <c r="B35" s="9">
        <v>1097</v>
      </c>
      <c r="D35" s="2" t="s">
        <v>52</v>
      </c>
      <c r="E35" t="s">
        <v>64</v>
      </c>
      <c r="F35" t="s">
        <v>67</v>
      </c>
    </row>
    <row r="36" spans="1:12" x14ac:dyDescent="0.25">
      <c r="D36" s="7" t="s">
        <v>58</v>
      </c>
      <c r="E36" s="5">
        <v>23067.919999999998</v>
      </c>
      <c r="F36" s="11"/>
    </row>
    <row r="37" spans="1:12" x14ac:dyDescent="0.25">
      <c r="D37" s="7" t="s">
        <v>59</v>
      </c>
      <c r="E37" s="5">
        <v>20393.540000000008</v>
      </c>
      <c r="F37" s="11">
        <v>-0.1159350301197503</v>
      </c>
      <c r="K37" t="s">
        <v>69</v>
      </c>
    </row>
    <row r="38" spans="1:12" x14ac:dyDescent="0.25">
      <c r="D38" s="7" t="s">
        <v>57</v>
      </c>
      <c r="E38" s="5">
        <v>29043.180000000004</v>
      </c>
      <c r="F38" s="11">
        <v>0.2590289891763109</v>
      </c>
      <c r="K38" s="6">
        <v>353</v>
      </c>
    </row>
    <row r="39" spans="1:12" x14ac:dyDescent="0.25">
      <c r="D39" s="7" t="s">
        <v>66</v>
      </c>
      <c r="E39" s="5">
        <v>17176.88</v>
      </c>
      <c r="F39" s="11">
        <v>-0.25537803148268234</v>
      </c>
    </row>
    <row r="40" spans="1:12" x14ac:dyDescent="0.25">
      <c r="D40" s="7" t="s">
        <v>56</v>
      </c>
      <c r="E40" s="5">
        <v>20397.439999999999</v>
      </c>
      <c r="F40" s="11">
        <v>-0.11576596416148485</v>
      </c>
    </row>
    <row r="41" spans="1:12" x14ac:dyDescent="0.25">
      <c r="D41" s="7" t="s">
        <v>62</v>
      </c>
      <c r="E41" s="5">
        <v>26089.219999999998</v>
      </c>
      <c r="F41" s="11">
        <v>0.13097409736118382</v>
      </c>
      <c r="K41" t="s">
        <v>70</v>
      </c>
    </row>
    <row r="42" spans="1:12" x14ac:dyDescent="0.25">
      <c r="D42" s="7" t="s">
        <v>61</v>
      </c>
      <c r="E42" s="5">
        <v>32073.430000000004</v>
      </c>
      <c r="F42" s="11">
        <v>0.39039107123659206</v>
      </c>
      <c r="K42" s="12">
        <v>176.02832269826791</v>
      </c>
    </row>
    <row r="43" spans="1:12" x14ac:dyDescent="0.25">
      <c r="D43" s="7" t="s">
        <v>60</v>
      </c>
      <c r="E43" s="5">
        <v>24861.460000000006</v>
      </c>
      <c r="F43" s="11">
        <v>7.7750399689265795E-2</v>
      </c>
    </row>
    <row r="44" spans="1:12" x14ac:dyDescent="0.25">
      <c r="D44" s="7" t="s">
        <v>55</v>
      </c>
      <c r="E44" s="5">
        <v>193103.07</v>
      </c>
      <c r="F44" s="11"/>
    </row>
    <row r="45" spans="1:12" x14ac:dyDescent="0.25">
      <c r="K45" s="2" t="s">
        <v>6</v>
      </c>
      <c r="L45" s="8" t="s">
        <v>64</v>
      </c>
    </row>
    <row r="46" spans="1:12" x14ac:dyDescent="0.25">
      <c r="K46" s="7" t="s">
        <v>33</v>
      </c>
      <c r="L46" s="12">
        <v>24094.02</v>
      </c>
    </row>
    <row r="47" spans="1:12" x14ac:dyDescent="0.25">
      <c r="K47" s="7" t="s">
        <v>39</v>
      </c>
      <c r="L47" s="12">
        <v>30851.19000000001</v>
      </c>
    </row>
    <row r="48" spans="1:12" x14ac:dyDescent="0.25">
      <c r="K48" s="7" t="s">
        <v>27</v>
      </c>
      <c r="L48" s="12">
        <v>29822.889999999992</v>
      </c>
    </row>
    <row r="49" spans="11:12" x14ac:dyDescent="0.25">
      <c r="K49" s="7" t="s">
        <v>43</v>
      </c>
      <c r="L49" s="12">
        <v>20912.740000000002</v>
      </c>
    </row>
    <row r="50" spans="11:12" x14ac:dyDescent="0.25">
      <c r="K50" s="7" t="s">
        <v>16</v>
      </c>
      <c r="L50" s="12">
        <v>31587.39</v>
      </c>
    </row>
    <row r="51" spans="11:12" x14ac:dyDescent="0.25">
      <c r="K51" s="7" t="s">
        <v>34</v>
      </c>
      <c r="L51" s="12">
        <v>29739.249999999993</v>
      </c>
    </row>
    <row r="52" spans="11:12" x14ac:dyDescent="0.25">
      <c r="K52" s="7" t="s">
        <v>22</v>
      </c>
      <c r="L52" s="12">
        <v>26095.589999999997</v>
      </c>
    </row>
    <row r="53" spans="11:12" x14ac:dyDescent="0.25">
      <c r="K53" s="7" t="s">
        <v>55</v>
      </c>
      <c r="L53" s="12">
        <v>193103.07</v>
      </c>
    </row>
  </sheetData>
  <pageMargins left="0.7" right="0.7" top="0.75" bottom="0.75" header="0.3" footer="0.3"/>
  <pageSetup orientation="portrait" r:id="rId18"/>
  <drawing r:id="rId19"/>
  <extLst>
    <ext xmlns:x14="http://schemas.microsoft.com/office/spreadsheetml/2009/9/main" uri="{A8765BA9-456A-4dab-B4F3-ACF838C121DE}">
      <x14:slicerList>
        <x14:slicer r:id="rId2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60429-C540-49CE-9C2E-A2DB3EFB946D}">
  <sheetPr>
    <pageSetUpPr fitToPage="1"/>
  </sheetPr>
  <dimension ref="A1"/>
  <sheetViews>
    <sheetView showGridLines="0" tabSelected="1" zoomScale="70" zoomScaleNormal="70" workbookViewId="0">
      <selection activeCell="AB11" sqref="AB11"/>
    </sheetView>
  </sheetViews>
  <sheetFormatPr defaultRowHeight="15" x14ac:dyDescent="0.25"/>
  <sheetData/>
  <pageMargins left="0.25" right="0.25" top="0.75" bottom="0.75" header="0.3" footer="0.3"/>
  <pageSetup scale="61"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sneakers_streetwear_sales_data</vt:lpstr>
      <vt:lpstr>Pivot Table</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Eniola</dc:creator>
  <cp:lastModifiedBy>Habeebat Aroyeun</cp:lastModifiedBy>
  <cp:lastPrinted>2026-03-25T17:33:02Z</cp:lastPrinted>
  <dcterms:created xsi:type="dcterms:W3CDTF">2025-08-18T12:25:56Z</dcterms:created>
  <dcterms:modified xsi:type="dcterms:W3CDTF">2026-03-25T17:33:19Z</dcterms:modified>
</cp:coreProperties>
</file>